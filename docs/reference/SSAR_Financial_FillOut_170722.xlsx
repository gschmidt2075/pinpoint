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arney2\Desktop\Flash Drive Files &amp; Color Printing\Flash Drive\"/>
    </mc:Choice>
  </mc:AlternateContent>
  <bookViews>
    <workbookView xWindow="0" yWindow="0" windowWidth="20496" windowHeight="7536"/>
  </bookViews>
  <sheets>
    <sheet name="NBCS Financial Report" sheetId="28" r:id="rId1"/>
    <sheet name="Revenu Data" sheetId="29" r:id="rId2"/>
    <sheet name="Expend Data" sheetId="30" r:id="rId3"/>
  </sheets>
  <definedNames>
    <definedName name="_xlnm.Print_Area" localSheetId="0">'NBCS Financial Report'!$A$1:$F$112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5" i="30" l="1"/>
  <c r="E145" i="30"/>
  <c r="D145" i="30"/>
  <c r="F222" i="30"/>
  <c r="E222" i="30"/>
  <c r="D222" i="30"/>
  <c r="E12" i="28" l="1"/>
  <c r="F93" i="28" l="1"/>
  <c r="F92" i="28"/>
  <c r="F91" i="28"/>
  <c r="E93" i="28"/>
  <c r="E92" i="28"/>
  <c r="E91" i="28"/>
  <c r="D93" i="28"/>
  <c r="D92" i="28"/>
  <c r="D91" i="28"/>
  <c r="F94" i="28" l="1"/>
  <c r="E94" i="28"/>
  <c r="D94" i="28"/>
  <c r="E1" i="30"/>
  <c r="B1" i="30"/>
  <c r="E8" i="29"/>
  <c r="B8" i="29"/>
  <c r="A98" i="28"/>
  <c r="F85" i="28" l="1"/>
  <c r="F84" i="28"/>
  <c r="F83" i="28"/>
  <c r="F82" i="28"/>
  <c r="F81" i="28"/>
  <c r="F80" i="28"/>
  <c r="F79" i="28"/>
  <c r="F78" i="28"/>
  <c r="E85" i="28"/>
  <c r="E84" i="28"/>
  <c r="E83" i="28"/>
  <c r="E82" i="28"/>
  <c r="E81" i="28"/>
  <c r="E80" i="28"/>
  <c r="E79" i="28"/>
  <c r="E78" i="28"/>
  <c r="D85" i="28"/>
  <c r="D84" i="28"/>
  <c r="D83" i="28"/>
  <c r="D82" i="28"/>
  <c r="D81" i="28"/>
  <c r="D80" i="28"/>
  <c r="D79" i="28"/>
  <c r="D78" i="28"/>
  <c r="F226" i="30" l="1"/>
  <c r="F76" i="29" s="1"/>
  <c r="E226" i="30"/>
  <c r="E76" i="29" s="1"/>
  <c r="D226" i="30"/>
  <c r="D76" i="29" s="1"/>
  <c r="F216" i="30"/>
  <c r="E216" i="30"/>
  <c r="D216" i="30"/>
  <c r="F206" i="30"/>
  <c r="E206" i="30"/>
  <c r="D206" i="30"/>
  <c r="F133" i="30"/>
  <c r="E133" i="30"/>
  <c r="D133" i="30"/>
  <c r="F85" i="30"/>
  <c r="E85" i="30"/>
  <c r="D85" i="30"/>
  <c r="F28" i="30"/>
  <c r="E28" i="30"/>
  <c r="D28" i="30"/>
  <c r="F73" i="29" l="1"/>
  <c r="F65" i="28" s="1"/>
  <c r="E73" i="29"/>
  <c r="E65" i="28" s="1"/>
  <c r="D73" i="29"/>
  <c r="D65" i="28" s="1"/>
  <c r="F63" i="29"/>
  <c r="F46" i="28" s="1"/>
  <c r="E63" i="29"/>
  <c r="E46" i="28" s="1"/>
  <c r="D63" i="29"/>
  <c r="D46" i="28" s="1"/>
  <c r="F41" i="29"/>
  <c r="F15" i="28" s="1"/>
  <c r="E41" i="29"/>
  <c r="D41" i="29"/>
  <c r="F74" i="28" l="1"/>
  <c r="E74" i="29"/>
  <c r="E15" i="28"/>
  <c r="E74" i="28" s="1"/>
  <c r="D74" i="29"/>
  <c r="D15" i="28"/>
  <c r="D74" i="28" s="1"/>
  <c r="F74" i="29"/>
  <c r="A109" i="28"/>
  <c r="A100" i="28"/>
  <c r="A104" i="28" l="1"/>
  <c r="F76" i="28" l="1"/>
  <c r="E76" i="28"/>
  <c r="D76" i="28"/>
  <c r="F73" i="28"/>
  <c r="E73" i="28"/>
  <c r="D73" i="28"/>
  <c r="F64" i="28"/>
  <c r="E64" i="28"/>
  <c r="D64" i="28"/>
  <c r="F45" i="28"/>
  <c r="E45" i="28"/>
  <c r="D45" i="28"/>
  <c r="F86" i="28" l="1"/>
  <c r="F89" i="28" s="1"/>
  <c r="D86" i="28"/>
  <c r="D89" i="28" s="1"/>
  <c r="E86" i="28"/>
  <c r="E106" i="28" l="1"/>
  <c r="E89" i="28"/>
</calcChain>
</file>

<file path=xl/comments1.xml><?xml version="1.0" encoding="utf-8"?>
<comments xmlns="http://schemas.openxmlformats.org/spreadsheetml/2006/main">
  <authors>
    <author>James Wilkinson</author>
  </authors>
  <commentList>
    <comment ref="C77" authorId="0" shapeId="0">
      <text>
        <r>
          <rPr>
            <sz val="9"/>
            <color indexed="81"/>
            <rFont val="Tahoma"/>
            <family val="2"/>
          </rPr>
          <t>OBJECT OF EXPENDITURE
Refer to Chapter 1, Section A, Pages 8-9</t>
        </r>
      </text>
    </comment>
    <comment ref="A78" authorId="0" shapeId="0">
      <text>
        <r>
          <rPr>
            <sz val="9"/>
            <color indexed="81"/>
            <rFont val="Tahoma"/>
            <family val="2"/>
          </rPr>
          <t>OBJECT OF EXPENDITURE
Refer to Chapter 1, Section A, Pages 8-9</t>
        </r>
      </text>
    </comment>
  </commentList>
</comments>
</file>

<file path=xl/comments2.xml><?xml version="1.0" encoding="utf-8"?>
<comments xmlns="http://schemas.openxmlformats.org/spreadsheetml/2006/main">
  <authors>
    <author>James Wilkinson</author>
  </authors>
  <commentList>
    <comment ref="C44" authorId="0" shapeId="0">
      <text>
        <r>
          <rPr>
            <sz val="9"/>
            <color indexed="81"/>
            <rFont val="Tahoma"/>
            <family val="2"/>
          </rPr>
          <t>Includes emergency flood relief funds received from the State and included in the county's or municipality's budget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 xml:space="preserve">Includes Transportation Innovation Act funds, County Bridge Match Program funds, and Major Bridge Program funds received from the State and included in the County's or Municipality's budget. </t>
        </r>
      </text>
    </comment>
  </commentList>
</comments>
</file>

<file path=xl/sharedStrings.xml><?xml version="1.0" encoding="utf-8"?>
<sst xmlns="http://schemas.openxmlformats.org/spreadsheetml/2006/main" count="858" uniqueCount="470">
  <si>
    <t>Item No.</t>
  </si>
  <si>
    <t>Item</t>
  </si>
  <si>
    <t>Budget Fiscal Year</t>
  </si>
  <si>
    <t>Actual Expended Fiscal Year</t>
  </si>
  <si>
    <t>Budget Next Year</t>
  </si>
  <si>
    <t>Administrative</t>
  </si>
  <si>
    <t>Engineering</t>
  </si>
  <si>
    <t>Maintenance</t>
  </si>
  <si>
    <t>Construction</t>
  </si>
  <si>
    <t>Clerical</t>
  </si>
  <si>
    <t>Custodial</t>
  </si>
  <si>
    <t>Workmans Compensation</t>
  </si>
  <si>
    <t>Health &amp; Accident</t>
  </si>
  <si>
    <t>Group</t>
  </si>
  <si>
    <t>Life</t>
  </si>
  <si>
    <t>INSURANCE PREMIUMS</t>
  </si>
  <si>
    <t>OTHER PERSONAL SERVICES</t>
  </si>
  <si>
    <t>UNEMPLOYMENT CONTRIBUTIONS</t>
  </si>
  <si>
    <t>RETIREMENT CONTRIBUTIONS</t>
  </si>
  <si>
    <t>POSTAL SERVICES</t>
  </si>
  <si>
    <t>TELEPHONE SERVICES</t>
  </si>
  <si>
    <t>UTILITIES</t>
  </si>
  <si>
    <t>Water</t>
  </si>
  <si>
    <t>Sewer</t>
  </si>
  <si>
    <t>Garbage</t>
  </si>
  <si>
    <t xml:space="preserve">Fiscal Year Ending: </t>
  </si>
  <si>
    <t xml:space="preserve">Municipality or County: </t>
  </si>
  <si>
    <t>General Liability</t>
  </si>
  <si>
    <t>TRAVEL EXPENSES</t>
  </si>
  <si>
    <t>Meals</t>
  </si>
  <si>
    <t>Lodging</t>
  </si>
  <si>
    <t>SUPPLIES</t>
  </si>
  <si>
    <t>Office</t>
  </si>
  <si>
    <t>Chemical</t>
  </si>
  <si>
    <t>Janitorial</t>
  </si>
  <si>
    <t>Medical</t>
  </si>
  <si>
    <t>Shop Supplies</t>
  </si>
  <si>
    <t>Shop Tools</t>
  </si>
  <si>
    <t xml:space="preserve">Small Tools, etc. </t>
  </si>
  <si>
    <t>MATERIALS</t>
  </si>
  <si>
    <t>Pavement Marking</t>
  </si>
  <si>
    <t>Flares, Flags, Barricades</t>
  </si>
  <si>
    <t>TRAFFIC CONTROL</t>
  </si>
  <si>
    <t>Asphaltic</t>
  </si>
  <si>
    <t>Gravel and Borrow</t>
  </si>
  <si>
    <t>Grader Blades</t>
  </si>
  <si>
    <t>Concrete, etc.</t>
  </si>
  <si>
    <t>Culverts</t>
  </si>
  <si>
    <t>Steel Products</t>
  </si>
  <si>
    <t>Lumber</t>
  </si>
  <si>
    <t>MISCELLANEOUS SUPPLIES AND MATERIALS</t>
  </si>
  <si>
    <t>ROAD EQUIPMENT RENTAL</t>
  </si>
  <si>
    <t>OFFICE EQUIPMENT RENTAL</t>
  </si>
  <si>
    <t>LAND</t>
  </si>
  <si>
    <t>BUILDINGS</t>
  </si>
  <si>
    <t>MACHINERY &amp; EQUIPMENT</t>
  </si>
  <si>
    <t>Pickups</t>
  </si>
  <si>
    <t>Snow Moving Equipment</t>
  </si>
  <si>
    <t>Radio Equipment</t>
  </si>
  <si>
    <t>Legal</t>
  </si>
  <si>
    <t>Architectural</t>
  </si>
  <si>
    <t>Surveyor</t>
  </si>
  <si>
    <t>Engineer Testing</t>
  </si>
  <si>
    <t>Consultant Management</t>
  </si>
  <si>
    <t>Advertisement for Bids</t>
  </si>
  <si>
    <t>Appraisers</t>
  </si>
  <si>
    <t>Data Processing Software</t>
  </si>
  <si>
    <t>PRINCIPAL RETIREMENT</t>
  </si>
  <si>
    <t>INTEREST PAYMENTS</t>
  </si>
  <si>
    <t>EXPENDITURES GRAND TOTAL</t>
  </si>
  <si>
    <t>Property Tax</t>
  </si>
  <si>
    <t>Inheritance Tax</t>
  </si>
  <si>
    <t>Local Sales Tax</t>
  </si>
  <si>
    <t>Wheel Tax</t>
  </si>
  <si>
    <t>Occupation Tax</t>
  </si>
  <si>
    <t>Interest on Investments</t>
  </si>
  <si>
    <t>TOWNSHIP SOURCES (Specify)</t>
  </si>
  <si>
    <t>Homestead Exemption Allocation</t>
  </si>
  <si>
    <t>Highway/Street Allocation</t>
  </si>
  <si>
    <t>Forest Reserve</t>
  </si>
  <si>
    <t>TOTAL FROM LOCAL SOURCES</t>
  </si>
  <si>
    <t>TOTAL FROM STATE SOURCES</t>
  </si>
  <si>
    <t>TOTAL FROM FEDERAL SOURCES</t>
  </si>
  <si>
    <t>INTER-FUND TRANSFERS</t>
  </si>
  <si>
    <t>DISTRIBUTION TRANSFERS</t>
  </si>
  <si>
    <t>County Accounting Manual</t>
  </si>
  <si>
    <t>Page</t>
  </si>
  <si>
    <t>Chapter</t>
  </si>
  <si>
    <t>Section</t>
  </si>
  <si>
    <t>B</t>
  </si>
  <si>
    <t>TRANSFERS - 7</t>
  </si>
  <si>
    <t>DEBT SERVICING - 6</t>
  </si>
  <si>
    <t>INTEREST ON REGISTERED WARRANTS</t>
  </si>
  <si>
    <t>OTHER DEBT PAYMENTS</t>
  </si>
  <si>
    <t>DEBT PAYMENTS</t>
  </si>
  <si>
    <t>301-309</t>
  </si>
  <si>
    <t>311-313</t>
  </si>
  <si>
    <t>320-329</t>
  </si>
  <si>
    <t>330-333</t>
  </si>
  <si>
    <t>Emergency Flood Relief (ER)</t>
  </si>
  <si>
    <t>Other Federal Grants including CDBG</t>
  </si>
  <si>
    <t>336-339</t>
  </si>
  <si>
    <t>Incentive Payments</t>
  </si>
  <si>
    <t>Highway/Street Buyback Program (STP)</t>
  </si>
  <si>
    <t>Highway Bridge Buyback Program (HBP)</t>
  </si>
  <si>
    <t>347.50</t>
  </si>
  <si>
    <t>347.60</t>
  </si>
  <si>
    <t>347.05</t>
  </si>
  <si>
    <t>Municipality Relinquished Funds</t>
  </si>
  <si>
    <t>Motor Vehicle Fee (Road)</t>
  </si>
  <si>
    <t>Motor Vehicle Sales Tax</t>
  </si>
  <si>
    <t>County Sales Tax</t>
  </si>
  <si>
    <t>Nebraska Accounting Code Manual for Counties</t>
  </si>
  <si>
    <t>STP, BR, BRO, HSIP, TAP, RRZ, CMAQ</t>
  </si>
  <si>
    <t>Registered Warrants/Loans</t>
  </si>
  <si>
    <t>Proceeds from the Sale of Bonds</t>
  </si>
  <si>
    <t>License and Permit revenues</t>
  </si>
  <si>
    <t>Sale of Property, Supplies, Materials</t>
  </si>
  <si>
    <t>398-540</t>
  </si>
  <si>
    <t>Any Other Miscellaneous Revenue</t>
  </si>
  <si>
    <t>314-315</t>
  </si>
  <si>
    <t>911 Tax and Lodging Tax</t>
  </si>
  <si>
    <t>340-349</t>
  </si>
  <si>
    <t>All Other STATE Sources (Specify)</t>
  </si>
  <si>
    <t>All Other FEDERAL Sources (Specify)</t>
  </si>
  <si>
    <t>State Natural Disaster</t>
  </si>
  <si>
    <t>340.20</t>
  </si>
  <si>
    <t>???</t>
  </si>
  <si>
    <t>Property Tax Credit</t>
  </si>
  <si>
    <t>Property Tax Relief</t>
  </si>
  <si>
    <t>Pro-Rata Motor Vehicle Allocation</t>
  </si>
  <si>
    <t>Property Tax Reimbursement</t>
  </si>
  <si>
    <t>ROADS &amp; STREETS FINANCIAL REPORT</t>
  </si>
  <si>
    <t>TO</t>
  </si>
  <si>
    <t>BOARD OF PUBLIC ROADS CLASSIFICATIONS AND STANDARDS</t>
  </si>
  <si>
    <t xml:space="preserve">Reference Chapter 4 of the  </t>
  </si>
  <si>
    <t>BEGINNING CASH BALANCE</t>
  </si>
  <si>
    <r>
      <t xml:space="preserve">LOCAL SOURCES </t>
    </r>
    <r>
      <rPr>
        <sz val="11"/>
        <color theme="1"/>
        <rFont val="Calibri"/>
        <family val="2"/>
        <scheme val="minor"/>
      </rPr>
      <t>(COUNTY &amp; MUNICIPALITY)</t>
    </r>
  </si>
  <si>
    <t>330-339</t>
  </si>
  <si>
    <t>350-359</t>
  </si>
  <si>
    <t>351.04</t>
  </si>
  <si>
    <t>Interlocal Government Payments - Roads</t>
  </si>
  <si>
    <t>353.02</t>
  </si>
  <si>
    <t>In Lieu of Taxes - 5% Gross Revenue</t>
  </si>
  <si>
    <t>INTERGOVERNMENTAL REVENUE</t>
  </si>
  <si>
    <t>MISCELLANEOUS REVENUE</t>
  </si>
  <si>
    <t>What's the difference with 317?</t>
  </si>
  <si>
    <t xml:space="preserve">What happened to Make Up Funds 347.03?  </t>
  </si>
  <si>
    <t>COUNTY TRANSFERS</t>
  </si>
  <si>
    <t>Transfers - Local Matching Funds</t>
  </si>
  <si>
    <t>Transfers - Inter-fund</t>
  </si>
  <si>
    <t>Transfers - Sinking Funds</t>
  </si>
  <si>
    <t>Transfers - Closed funds</t>
  </si>
  <si>
    <t>Special Assessment - Paving (cities, villages)</t>
  </si>
  <si>
    <t>490-491</t>
  </si>
  <si>
    <t>534.01</t>
  </si>
  <si>
    <t xml:space="preserve">What's the difference with 490.02?  Are these just special assessments by counties?  </t>
  </si>
  <si>
    <t>Special Assessments (county)</t>
  </si>
  <si>
    <t xml:space="preserve">is this state-aid emergency flooding relief? </t>
  </si>
  <si>
    <r>
      <t xml:space="preserve">TOTAL REVENUE </t>
    </r>
    <r>
      <rPr>
        <sz val="16"/>
        <color theme="1"/>
        <rFont val="Wingdings 3"/>
        <family val="1"/>
        <charset val="2"/>
      </rPr>
      <t></t>
    </r>
  </si>
  <si>
    <t>Donations (money only)</t>
  </si>
  <si>
    <t>EXPENDITURES FROM NBCS FORM 1</t>
  </si>
  <si>
    <t>ENDING CASH BALANCE</t>
  </si>
  <si>
    <t>Any Other Intergovenmental Revenue</t>
  </si>
  <si>
    <t>Any Other Transfers (Specify)</t>
  </si>
  <si>
    <t>INCLUDING OVERTIME, SPECIAL OVERTIME, HOLIDAY, BACK, VACATION AND SICK PAY</t>
  </si>
  <si>
    <t>0300 - 0700</t>
  </si>
  <si>
    <t>PERSONAL SERVICES - 1</t>
  </si>
  <si>
    <t>0801</t>
  </si>
  <si>
    <t>0800</t>
  </si>
  <si>
    <t>0802</t>
  </si>
  <si>
    <t>0803</t>
  </si>
  <si>
    <t>0804</t>
  </si>
  <si>
    <t>Other insurance premiums</t>
  </si>
  <si>
    <t>0900</t>
  </si>
  <si>
    <t>1300</t>
  </si>
  <si>
    <t>1000</t>
  </si>
  <si>
    <t>FICA - COUNTY (or MUNICIPALITY) SHARE</t>
  </si>
  <si>
    <t>1500</t>
  </si>
  <si>
    <t>1100</t>
  </si>
  <si>
    <t>UNIFORM ALLOWANCE</t>
  </si>
  <si>
    <t>1200</t>
  </si>
  <si>
    <t>INSURANCE ALLOWANCE</t>
  </si>
  <si>
    <t>1400</t>
  </si>
  <si>
    <t>MISCELLANEOUS PERSONAL SERVICES</t>
  </si>
  <si>
    <t>1600</t>
  </si>
  <si>
    <t>COBRA REFUND</t>
  </si>
  <si>
    <t>OPERATING EXPENSES - 2</t>
  </si>
  <si>
    <t>0100</t>
  </si>
  <si>
    <t>0200</t>
  </si>
  <si>
    <t>RENTAL EXPENSES</t>
  </si>
  <si>
    <t>0500</t>
  </si>
  <si>
    <t>Heating Fuels</t>
  </si>
  <si>
    <t>0501</t>
  </si>
  <si>
    <t>0502</t>
  </si>
  <si>
    <t>0503</t>
  </si>
  <si>
    <t>0504</t>
  </si>
  <si>
    <t>0505</t>
  </si>
  <si>
    <t>Other Utilities</t>
  </si>
  <si>
    <t>0400</t>
  </si>
  <si>
    <t>0600</t>
  </si>
  <si>
    <t>0601</t>
  </si>
  <si>
    <t>0616</t>
  </si>
  <si>
    <t>Offical and Employee Bonds</t>
  </si>
  <si>
    <t>Other Insurance Premiums</t>
  </si>
  <si>
    <t>Data Processing Costs</t>
  </si>
  <si>
    <t>GENERAL FINANCE/ADMINISTRATIVE EXPENSES</t>
  </si>
  <si>
    <t>Other General Finance/Administrative Expenses</t>
  </si>
  <si>
    <t>Other Personal Services not reported above</t>
  </si>
  <si>
    <t>MAINTENANCE AND REPAIRS</t>
  </si>
  <si>
    <t>1210</t>
  </si>
  <si>
    <t>Office Equipment Repair</t>
  </si>
  <si>
    <t>Road Building Repair</t>
  </si>
  <si>
    <t>1305</t>
  </si>
  <si>
    <t>Road Equipment Repair - Labor</t>
  </si>
  <si>
    <t>Road Equipment Repair (other than labor)</t>
  </si>
  <si>
    <t>1550</t>
  </si>
  <si>
    <t>Radio Equipment Repair</t>
  </si>
  <si>
    <t>Other Maintenance and Repairs</t>
  </si>
  <si>
    <t>1700</t>
  </si>
  <si>
    <t>Transportation - Commerical</t>
  </si>
  <si>
    <t>1701</t>
  </si>
  <si>
    <t>1702</t>
  </si>
  <si>
    <t>1703</t>
  </si>
  <si>
    <t>Other Travel Expenses</t>
  </si>
  <si>
    <t>1750</t>
  </si>
  <si>
    <t>TRAINING</t>
  </si>
  <si>
    <t>Dues, Subscriptions, Registrations, Training, Fees</t>
  </si>
  <si>
    <t>1751</t>
  </si>
  <si>
    <t>Convention/Workshop Expense</t>
  </si>
  <si>
    <t>1752</t>
  </si>
  <si>
    <t>National Association Dues</t>
  </si>
  <si>
    <t>1753</t>
  </si>
  <si>
    <t>Other Training Expenses</t>
  </si>
  <si>
    <t>2500</t>
  </si>
  <si>
    <t>SALARIES - REGULAR &amp; PART-TIME EMPLOYEES</t>
  </si>
  <si>
    <t>2501</t>
  </si>
  <si>
    <t>Consulting Fees</t>
  </si>
  <si>
    <t>Surveyor, Contracted Services</t>
  </si>
  <si>
    <t>2530</t>
  </si>
  <si>
    <t>Engineering Costs</t>
  </si>
  <si>
    <t>2533</t>
  </si>
  <si>
    <t>Road Maintenance - By Others</t>
  </si>
  <si>
    <t>Snow Removal - By Others</t>
  </si>
  <si>
    <t>2560</t>
  </si>
  <si>
    <t>2561</t>
  </si>
  <si>
    <t>Professional Fees</t>
  </si>
  <si>
    <t>2502</t>
  </si>
  <si>
    <t>Other Contractual Services</t>
  </si>
  <si>
    <t>2601</t>
  </si>
  <si>
    <t>FEMA GRANT COSTS</t>
  </si>
  <si>
    <t>INTERGOVERNMENTAL PAYMENTS</t>
  </si>
  <si>
    <t>4400</t>
  </si>
  <si>
    <t>Planning Costs</t>
  </si>
  <si>
    <t>Road Improvements</t>
  </si>
  <si>
    <t>4405</t>
  </si>
  <si>
    <t>4416</t>
  </si>
  <si>
    <t>Other Intergovernmental Payments</t>
  </si>
  <si>
    <t>JUDGMENTS - SETTLEMENTS</t>
  </si>
  <si>
    <t>7000</t>
  </si>
  <si>
    <t>MISCELLANEOUS</t>
  </si>
  <si>
    <t>9000</t>
  </si>
  <si>
    <t>Prior Year Expenditure Adjustment</t>
  </si>
  <si>
    <t>9075</t>
  </si>
  <si>
    <t>Other Operating Expenses Not Reported Above</t>
  </si>
  <si>
    <t>Combined File          Page x/78</t>
  </si>
  <si>
    <t>SUPPLIES AND MATERIALS - 3</t>
  </si>
  <si>
    <t>0101</t>
  </si>
  <si>
    <t>0102</t>
  </si>
  <si>
    <t>0103</t>
  </si>
  <si>
    <t>0105</t>
  </si>
  <si>
    <t>0106</t>
  </si>
  <si>
    <t>0109</t>
  </si>
  <si>
    <t>0110</t>
  </si>
  <si>
    <t>Building Supplies</t>
  </si>
  <si>
    <t>0107</t>
  </si>
  <si>
    <t>0104</t>
  </si>
  <si>
    <t>Building and Grounds Supplies</t>
  </si>
  <si>
    <t>0126</t>
  </si>
  <si>
    <t>Road Supplies</t>
  </si>
  <si>
    <t>Other Supplies Expenses Not Reported Above</t>
  </si>
  <si>
    <t xml:space="preserve">Fences, etc. </t>
  </si>
  <si>
    <t>Machinery and Equipment Fuel</t>
  </si>
  <si>
    <t>Machinery and Equipment Grease &amp; Oil</t>
  </si>
  <si>
    <t>Machinery and Equipment Tires and Tire Repair</t>
  </si>
  <si>
    <t>Seed, Trees and Plantings</t>
  </si>
  <si>
    <t>Other Road &amp; Bridge Materials</t>
  </si>
  <si>
    <t>Pilings</t>
  </si>
  <si>
    <t>Oxygen &amp; Acetylene</t>
  </si>
  <si>
    <t>Chains</t>
  </si>
  <si>
    <t>Mower Blades</t>
  </si>
  <si>
    <t>Other Materials Expenses Not Reported Above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</si>
  <si>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</si>
  <si>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</si>
  <si>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</si>
  <si>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</si>
  <si>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</si>
  <si>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</si>
  <si>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</si>
  <si>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</si>
  <si>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</si>
  <si>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</si>
  <si>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</si>
  <si>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0214</t>
  </si>
  <si>
    <t>0215</t>
  </si>
  <si>
    <t>0216</t>
  </si>
  <si>
    <t>0217</t>
  </si>
  <si>
    <t>0218</t>
  </si>
  <si>
    <t>0219</t>
  </si>
  <si>
    <t>0300</t>
  </si>
  <si>
    <t>0301</t>
  </si>
  <si>
    <t>Signs and Posts</t>
  </si>
  <si>
    <t>0304</t>
  </si>
  <si>
    <t>Guard Posts and Delineators</t>
  </si>
  <si>
    <t>0305</t>
  </si>
  <si>
    <t>Signals and Lighting</t>
  </si>
  <si>
    <t>0306</t>
  </si>
  <si>
    <t>0308</t>
  </si>
  <si>
    <t xml:space="preserve">Pipes, Bolts, etc. </t>
  </si>
  <si>
    <t>0309</t>
  </si>
  <si>
    <t>Other TC Materials Expenses Not Reported Above</t>
  </si>
  <si>
    <t>EQUIPMENT RENTAL - 4</t>
  </si>
  <si>
    <t>Loaders &amp; Motor Graders</t>
  </si>
  <si>
    <t>Trucks &amp; Tractors</t>
  </si>
  <si>
    <t>Road Surfacing Equipment</t>
  </si>
  <si>
    <t>Other Road Equipment Rental Expenses</t>
  </si>
  <si>
    <t>BUILDING/FACILITIES RENTAL</t>
  </si>
  <si>
    <t>MISCELLANEOUS RENTAL EXPENSE</t>
  </si>
  <si>
    <t>CAPITAL OUTLAYS - 5</t>
  </si>
  <si>
    <t>Right-of-Way (acquisition)</t>
  </si>
  <si>
    <t>Cars and Trucks</t>
  </si>
  <si>
    <t>0302</t>
  </si>
  <si>
    <t>Safety Equipment</t>
  </si>
  <si>
    <t>0303</t>
  </si>
  <si>
    <t>Spraying Equipment</t>
  </si>
  <si>
    <t>0307</t>
  </si>
  <si>
    <t>Motor Graders and Loaders</t>
  </si>
  <si>
    <t>Mowers</t>
  </si>
  <si>
    <t>0310</t>
  </si>
  <si>
    <t>0311</t>
  </si>
  <si>
    <t>Other Road Equipment</t>
  </si>
  <si>
    <t>0314</t>
  </si>
  <si>
    <t>Special Road Equipment</t>
  </si>
  <si>
    <t>0315</t>
  </si>
  <si>
    <t>Office Equipment</t>
  </si>
  <si>
    <t>Copy Equipment</t>
  </si>
  <si>
    <t>Data Processing Equipment</t>
  </si>
  <si>
    <t>Furniture</t>
  </si>
  <si>
    <t>Geographical Information System Equipment</t>
  </si>
  <si>
    <t>Communications Equipment</t>
  </si>
  <si>
    <t>Other Equipment</t>
  </si>
  <si>
    <t>0510</t>
  </si>
  <si>
    <t>0557</t>
  </si>
  <si>
    <t>CAPITAL OUTLAY CONTRACTS</t>
  </si>
  <si>
    <t>1201</t>
  </si>
  <si>
    <t>Armor Coating Contracts</t>
  </si>
  <si>
    <t>Grading Contracts</t>
  </si>
  <si>
    <t>1202</t>
  </si>
  <si>
    <t>Bituminous Surfacing Contracts</t>
  </si>
  <si>
    <t>1205</t>
  </si>
  <si>
    <t>Bridge Contracts</t>
  </si>
  <si>
    <t>1211</t>
  </si>
  <si>
    <t>Miscellaneous Road Contracts</t>
  </si>
  <si>
    <t>1212</t>
  </si>
  <si>
    <t>Roadside Landscaping</t>
  </si>
  <si>
    <t>1215</t>
  </si>
  <si>
    <t>Gravel Surfacing</t>
  </si>
  <si>
    <t>1216</t>
  </si>
  <si>
    <t>1250</t>
  </si>
  <si>
    <t>Miscellaneous Contracts</t>
  </si>
  <si>
    <t>CAPITALIZED FEES</t>
  </si>
  <si>
    <t>Consultant</t>
  </si>
  <si>
    <t>1501</t>
  </si>
  <si>
    <t>1502</t>
  </si>
  <si>
    <t>1503</t>
  </si>
  <si>
    <t>1506</t>
  </si>
  <si>
    <t>Curb &amp; Gutter Contracts</t>
  </si>
  <si>
    <t>Storm Sewer Contracts</t>
  </si>
  <si>
    <t>Concrete Surfacting Contracts</t>
  </si>
  <si>
    <t>Structures, Pipes &amp; Box Culverts Contracts</t>
  </si>
  <si>
    <t>Sidewalk Contracts</t>
  </si>
  <si>
    <t>Traffic Service Contracts</t>
  </si>
  <si>
    <t>Other Capitalized Fees Not Reported Above</t>
  </si>
  <si>
    <t>0700</t>
  </si>
  <si>
    <t>0701</t>
  </si>
  <si>
    <t>Other Debt Servicing Not Reported Above</t>
  </si>
  <si>
    <t>OTHER CAPITAL OUTLAYS Not Reported Above</t>
  </si>
  <si>
    <t>Other Salaries Not Reported Above</t>
  </si>
  <si>
    <t>0301/0401</t>
  </si>
  <si>
    <t>0303/0403</t>
  </si>
  <si>
    <t>0304/0404</t>
  </si>
  <si>
    <t>0305/0405</t>
  </si>
  <si>
    <t>0306/0406</t>
  </si>
  <si>
    <t xml:space="preserve">PERSONAL SERVICES - 1 SUB-TOTAL: </t>
  </si>
  <si>
    <t xml:space="preserve">OPERATING EXPENSES - 2 SUB-TOTAL: </t>
  </si>
  <si>
    <t xml:space="preserve">SUPPLIES AND MATERIALS - 3 SUB-TOTAL: </t>
  </si>
  <si>
    <t xml:space="preserve">EQUIPMENT RENTAL - 4 SUB-TOTAL: </t>
  </si>
  <si>
    <t xml:space="preserve">CAPITAL OUTLAYS - 5 SUB-TOTAL: </t>
  </si>
  <si>
    <t xml:space="preserve">DEBT SERVICING - 6 SUB-TOTAL: </t>
  </si>
  <si>
    <t xml:space="preserve">TRANSFERS - 7 SUB-TOTAL: </t>
  </si>
  <si>
    <t>FEDERAL REVENUE SOURCES</t>
  </si>
  <si>
    <t>STATE REVENUE SOURCES</t>
  </si>
  <si>
    <t>301-329, 350-359, 398-540, 590, and Township Sources</t>
  </si>
  <si>
    <t>http://auditors.nebraska.gov/County_Info/County_Manual.html</t>
  </si>
  <si>
    <t xml:space="preserve">Reference: </t>
  </si>
  <si>
    <t>EXPENDITURES</t>
  </si>
  <si>
    <t xml:space="preserve">at the following web link: </t>
  </si>
  <si>
    <t xml:space="preserve">              Note: borrowed funds (e.g. bond, bank loan, etc.) may be spread equally over the term.  </t>
  </si>
  <si>
    <t>Minimum Required Matching Funds per Neb. Rev. Stat. Chapter 39 Article 25 Distribution to Political Subdivisions</t>
  </si>
  <si>
    <t xml:space="preserve">Motion to accept this report was approved at a meeting of the governing body on this date: </t>
  </si>
  <si>
    <t>Signature of County Highway or City Street Superintendent</t>
  </si>
  <si>
    <t>Signature Chairman of County Board/Mayor/President/Chief Executive Officer/City Council</t>
  </si>
  <si>
    <t>ALL TOWNSHIPS REVENUES FOR ROADS</t>
  </si>
  <si>
    <t>ALL TOWNSHIPS EXPENDITURES ON ROADS</t>
  </si>
  <si>
    <t>ALL TOWNSHIPS EXPENSES ON ROADS</t>
  </si>
  <si>
    <t xml:space="preserve">Estimated for this Fiscal Year </t>
  </si>
  <si>
    <t>Actual for this Fiscal Year</t>
  </si>
  <si>
    <t>Estimates for Next Fiscal Year</t>
  </si>
  <si>
    <t>For Codes listed below, refer to Chapter 4 (Revenue) and Chapter 5 (Expenditures)</t>
  </si>
  <si>
    <t>Printed Name of County Highway or City Street Superintendent</t>
  </si>
  <si>
    <t>Printed Name of Chairman of County Board/Mayor/President/Chief Executive Officer/City Council</t>
  </si>
  <si>
    <t>TOTAL REVENUE </t>
  </si>
  <si>
    <t>TOTAL EXPENDITURES </t>
  </si>
  <si>
    <r>
      <rPr>
        <sz val="11"/>
        <color theme="1"/>
        <rFont val="Arial"/>
        <family val="2"/>
      </rPr>
      <t>LOCAL REVENUE SOURCES</t>
    </r>
    <r>
      <rPr>
        <sz val="14"/>
        <color theme="1"/>
        <rFont val="Arial"/>
        <family val="2"/>
      </rPr>
      <t xml:space="preserve">                                </t>
    </r>
    <r>
      <rPr>
        <sz val="10"/>
        <color theme="1"/>
        <rFont val="Arial"/>
        <family val="2"/>
      </rPr>
      <t>(COUNTY &amp; MUNICIPALITY)</t>
    </r>
  </si>
  <si>
    <t xml:space="preserve">Counties Only: </t>
  </si>
  <si>
    <t>STATE</t>
  </si>
  <si>
    <t>FEDERAL</t>
  </si>
  <si>
    <t>INDIRECT BENEFITS  not included in budget</t>
  </si>
  <si>
    <t xml:space="preserve">OTHER                                                           monetary value of donations such as land, equipment and labor (attach description), roads/streets constructed by developers, contributions from other sources such as schools and hospitals, and any other indirect sources </t>
  </si>
  <si>
    <t>Estimated Fiscal Year</t>
  </si>
  <si>
    <t>Actual Fiscal Year</t>
  </si>
  <si>
    <t>Next Fiscal Year Estimates</t>
  </si>
  <si>
    <t>TOTAL REVENUES FROM LOCAL SOURCES</t>
  </si>
  <si>
    <t>TOTAL INDIRECT BENEFITS</t>
  </si>
  <si>
    <t xml:space="preserve">INDIRECT BENEFITS  </t>
  </si>
  <si>
    <t>347.10</t>
  </si>
  <si>
    <t>Road/Bridge Project Costs</t>
  </si>
  <si>
    <t xml:space="preserve">State Natural Disaster </t>
  </si>
  <si>
    <t>Highway Safety</t>
  </si>
  <si>
    <t>Department of Roads</t>
  </si>
  <si>
    <t>Emergency Flood Relief</t>
  </si>
  <si>
    <t>A</t>
  </si>
  <si>
    <t>398-579</t>
  </si>
  <si>
    <t>2-3</t>
  </si>
  <si>
    <t>Numerical Revenue Codes found on pages:</t>
  </si>
  <si>
    <t>Citations and Definitions on these pages:</t>
  </si>
  <si>
    <t>C</t>
  </si>
  <si>
    <t>CONTRACTUAL SERVICES</t>
  </si>
  <si>
    <t xml:space="preserve">Purchase </t>
  </si>
  <si>
    <t>Any Other Transfers</t>
  </si>
  <si>
    <t>All Other STATE Sources</t>
  </si>
  <si>
    <t>All Other FEDERAL Sources</t>
  </si>
  <si>
    <t>CASH BALANCE</t>
  </si>
  <si>
    <t xml:space="preserve">For this Fiscal Year, if Actual was not equal to Estimated, explain: </t>
  </si>
  <si>
    <t>PERSONAL SERVICES</t>
  </si>
  <si>
    <t>OPERATING EXPENSES</t>
  </si>
  <si>
    <t>SUPPLIES AND MATERIALS</t>
  </si>
  <si>
    <t>EQUIPMENT RENTAL</t>
  </si>
  <si>
    <t>CAPITAL OUTLAYS</t>
  </si>
  <si>
    <t>DEBT SERVICING</t>
  </si>
  <si>
    <t>TRANSFERS</t>
  </si>
  <si>
    <t>County Accounting Manual                                   Citations and Definitions</t>
  </si>
  <si>
    <t>County Accounting Manual                            Numerical Expenditure Codes</t>
  </si>
  <si>
    <r>
      <t xml:space="preserve">OTHER                                                                            </t>
    </r>
    <r>
      <rPr>
        <sz val="11"/>
        <color theme="1"/>
        <rFont val="Calibri"/>
        <family val="2"/>
        <scheme val="minor"/>
      </rPr>
      <t>monetary value of donations such as land, equipment and labor (attach description), roads/streets constructed by developers, contributions from other sources such as schools and hospitals, and any other indirect sources</t>
    </r>
    <r>
      <rPr>
        <sz val="12"/>
        <color theme="1"/>
        <rFont val="Calibri"/>
        <family val="2"/>
        <scheme val="minor"/>
      </rPr>
      <t xml:space="preserve"> </t>
    </r>
  </si>
  <si>
    <t>Light (Electricity)</t>
  </si>
  <si>
    <t xml:space="preserve"> = Percentage of HAF required to be matched (based on a full fiscal-year's allocation)</t>
  </si>
  <si>
    <t xml:space="preserve"> = Highway Allocation Funds (HAF) received this fiscal year, and required by State law to be matched, in $</t>
  </si>
  <si>
    <t xml:space="preserve"> = Minimum amount of matching funds ($) required by State law</t>
  </si>
  <si>
    <t xml:space="preserve"> = Matching funds ($) provided this Fiscal Year, in dollars</t>
  </si>
  <si>
    <t xml:space="preserve"> = Matching Funds percentage provided this fiscal year (Matching Funds ÷ HAF Received)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</si>
</sst>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m/d/yyyy;@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Wingdings 3"/>
      <family val="1"/>
      <charset val="2"/>
    </font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1"/>
      <color theme="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darkGrid"/>
    </fill>
    <fill>
      <patternFill patternType="lightTrellis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9" fontId="8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10" xfId="0" applyBorder="1" applyAlignment="1">
      <alignment horizontal="center" wrapText="1"/>
    </xf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2" borderId="0" xfId="0" applyFill="1" applyBorder="1"/>
    <xf numFmtId="0" fontId="0" fillId="0" borderId="1" xfId="0" applyBorder="1" applyAlignment="1">
      <alignment horizontal="center" wrapText="1"/>
    </xf>
    <xf numFmtId="0" fontId="0" fillId="2" borderId="0" xfId="0" applyFill="1"/>
    <xf numFmtId="0" fontId="0" fillId="0" borderId="0" xfId="0" applyFill="1"/>
    <xf numFmtId="0" fontId="0" fillId="0" borderId="8" xfId="0" applyFill="1" applyBorder="1"/>
    <xf numFmtId="0" fontId="0" fillId="2" borderId="8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4" fontId="3" fillId="0" borderId="0" xfId="0" applyNumberFormat="1" applyFont="1" applyBorder="1"/>
    <xf numFmtId="0" fontId="3" fillId="0" borderId="0" xfId="0" applyFont="1" applyBorder="1"/>
    <xf numFmtId="0" fontId="3" fillId="2" borderId="0" xfId="0" applyFont="1" applyFill="1" applyBorder="1"/>
    <xf numFmtId="0" fontId="3" fillId="0" borderId="0" xfId="0" applyFont="1" applyFill="1" applyBorder="1"/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1"/>
    <xf numFmtId="0" fontId="0" fillId="0" borderId="1" xfId="0" applyBorder="1"/>
    <xf numFmtId="3" fontId="0" fillId="0" borderId="15" xfId="0" applyNumberFormat="1" applyBorder="1"/>
    <xf numFmtId="3" fontId="0" fillId="0" borderId="0" xfId="0" applyNumberFormat="1"/>
    <xf numFmtId="4" fontId="0" fillId="0" borderId="0" xfId="0" applyNumberFormat="1" applyFill="1" applyBorder="1"/>
    <xf numFmtId="0" fontId="0" fillId="0" borderId="5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4" fontId="0" fillId="0" borderId="0" xfId="0" applyNumberFormat="1" applyFill="1"/>
    <xf numFmtId="0" fontId="4" fillId="0" borderId="0" xfId="0" applyFont="1" applyFill="1" applyBorder="1" applyAlignment="1">
      <alignment horizontal="center"/>
    </xf>
    <xf numFmtId="0" fontId="3" fillId="2" borderId="0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5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/>
    <xf numFmtId="0" fontId="0" fillId="0" borderId="1" xfId="0" applyBorder="1" applyAlignment="1">
      <alignment horizontal="right" vertical="center"/>
    </xf>
    <xf numFmtId="0" fontId="0" fillId="5" borderId="10" xfId="0" applyFill="1" applyBorder="1" applyAlignment="1">
      <alignment horizontal="center" wrapText="1"/>
    </xf>
    <xf numFmtId="0" fontId="0" fillId="5" borderId="0" xfId="0" applyFill="1"/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3" fontId="0" fillId="0" borderId="0" xfId="0" applyNumberFormat="1" applyFill="1" applyBorder="1"/>
    <xf numFmtId="3" fontId="0" fillId="0" borderId="6" xfId="0" applyNumberFormat="1" applyFill="1" applyBorder="1"/>
    <xf numFmtId="0" fontId="4" fillId="0" borderId="0" xfId="0" applyFont="1" applyFill="1" applyBorder="1"/>
    <xf numFmtId="0" fontId="3" fillId="2" borderId="5" xfId="0" applyFont="1" applyFill="1" applyBorder="1" applyAlignment="1">
      <alignment horizontal="right" vertical="center"/>
    </xf>
    <xf numFmtId="0" fontId="3" fillId="2" borderId="5" xfId="0" quotePrefix="1" applyFont="1" applyFill="1" applyBorder="1" applyAlignment="1">
      <alignment horizontal="right" vertical="center"/>
    </xf>
    <xf numFmtId="0" fontId="3" fillId="0" borderId="5" xfId="0" quotePrefix="1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3" xfId="0" applyFont="1" applyFill="1" applyBorder="1"/>
    <xf numFmtId="4" fontId="3" fillId="0" borderId="3" xfId="0" applyNumberFormat="1" applyFont="1" applyFill="1" applyBorder="1"/>
    <xf numFmtId="4" fontId="3" fillId="0" borderId="4" xfId="0" applyNumberFormat="1" applyFont="1" applyFill="1" applyBorder="1"/>
    <xf numFmtId="0" fontId="3" fillId="0" borderId="8" xfId="0" applyFont="1" applyFill="1" applyBorder="1"/>
    <xf numFmtId="0" fontId="4" fillId="3" borderId="8" xfId="0" applyFont="1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0" fillId="5" borderId="5" xfId="0" applyFill="1" applyBorder="1"/>
    <xf numFmtId="0" fontId="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quotePrefix="1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left" vertical="center"/>
    </xf>
    <xf numFmtId="0" fontId="0" fillId="0" borderId="0" xfId="0" quotePrefix="1" applyBorder="1" applyAlignment="1">
      <alignment horizontal="center" vertical="center"/>
    </xf>
    <xf numFmtId="0" fontId="0" fillId="2" borderId="0" xfId="0" quotePrefix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0" xfId="0" applyFont="1" applyBorder="1" applyAlignment="1"/>
    <xf numFmtId="0" fontId="3" fillId="5" borderId="0" xfId="0" quotePrefix="1" applyFont="1" applyFill="1" applyBorder="1" applyAlignment="1">
      <alignment horizontal="center"/>
    </xf>
    <xf numFmtId="0" fontId="0" fillId="5" borderId="0" xfId="0" quotePrefix="1" applyFill="1" applyBorder="1" applyAlignment="1">
      <alignment horizontal="right" vertical="center"/>
    </xf>
    <xf numFmtId="0" fontId="0" fillId="5" borderId="5" xfId="0" applyFill="1" applyBorder="1" applyAlignment="1">
      <alignment horizontal="center"/>
    </xf>
    <xf numFmtId="0" fontId="3" fillId="2" borderId="5" xfId="0" quotePrefix="1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2" borderId="0" xfId="0" quotePrefix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3" fillId="5" borderId="5" xfId="0" quotePrefix="1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quotePrefix="1" applyFill="1" applyAlignment="1">
      <alignment horizontal="center"/>
    </xf>
    <xf numFmtId="0" fontId="0" fillId="5" borderId="8" xfId="0" applyFill="1" applyBorder="1"/>
    <xf numFmtId="4" fontId="0" fillId="5" borderId="0" xfId="0" applyNumberFormat="1" applyFill="1" applyBorder="1"/>
    <xf numFmtId="4" fontId="0" fillId="5" borderId="6" xfId="0" applyNumberFormat="1" applyFill="1" applyBorder="1"/>
    <xf numFmtId="0" fontId="0" fillId="2" borderId="0" xfId="0" quotePrefix="1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5" borderId="5" xfId="0" quotePrefix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2" fontId="0" fillId="5" borderId="8" xfId="0" applyNumberFormat="1" applyFill="1" applyBorder="1"/>
    <xf numFmtId="0" fontId="0" fillId="0" borderId="0" xfId="0" quotePrefix="1" applyFill="1" applyAlignment="1">
      <alignment horizontal="center"/>
    </xf>
    <xf numFmtId="0" fontId="3" fillId="0" borderId="3" xfId="0" applyFont="1" applyBorder="1" applyAlignment="1">
      <alignment horizontal="left"/>
    </xf>
    <xf numFmtId="0" fontId="0" fillId="5" borderId="0" xfId="0" quotePrefix="1" applyFill="1"/>
    <xf numFmtId="0" fontId="0" fillId="5" borderId="0" xfId="0" applyFill="1" applyBorder="1"/>
    <xf numFmtId="0" fontId="3" fillId="2" borderId="8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5" borderId="0" xfId="0" quotePrefix="1" applyFont="1" applyFill="1" applyBorder="1" applyAlignment="1">
      <alignment horizontal="center"/>
    </xf>
    <xf numFmtId="0" fontId="0" fillId="0" borderId="0" xfId="0" quotePrefix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3" fontId="0" fillId="0" borderId="14" xfId="0" applyNumberFormat="1" applyBorder="1" applyProtection="1">
      <protection locked="0"/>
    </xf>
    <xf numFmtId="3" fontId="0" fillId="2" borderId="14" xfId="0" applyNumberFormat="1" applyFill="1" applyBorder="1" applyProtection="1">
      <protection locked="0"/>
    </xf>
    <xf numFmtId="3" fontId="0" fillId="0" borderId="15" xfId="0" applyNumberFormat="1" applyBorder="1" applyProtection="1">
      <protection locked="0"/>
    </xf>
    <xf numFmtId="3" fontId="0" fillId="5" borderId="14" xfId="0" applyNumberFormat="1" applyFill="1" applyBorder="1"/>
    <xf numFmtId="3" fontId="0" fillId="0" borderId="14" xfId="0" applyNumberFormat="1" applyFill="1" applyBorder="1" applyProtection="1">
      <protection locked="0"/>
    </xf>
    <xf numFmtId="3" fontId="0" fillId="0" borderId="1" xfId="0" applyNumberFormat="1" applyFont="1" applyFill="1" applyBorder="1"/>
    <xf numFmtId="3" fontId="0" fillId="2" borderId="15" xfId="0" applyNumberFormat="1" applyFill="1" applyBorder="1" applyProtection="1">
      <protection locked="0"/>
    </xf>
    <xf numFmtId="3" fontId="0" fillId="2" borderId="14" xfId="0" applyNumberFormat="1" applyFont="1" applyFill="1" applyBorder="1" applyProtection="1">
      <protection locked="0"/>
    </xf>
    <xf numFmtId="3" fontId="0" fillId="0" borderId="14" xfId="0" applyNumberFormat="1" applyFont="1" applyFill="1" applyBorder="1" applyProtection="1">
      <protection locked="0"/>
    </xf>
    <xf numFmtId="3" fontId="0" fillId="0" borderId="1" xfId="0" applyNumberFormat="1" applyFont="1" applyFill="1" applyBorder="1" applyProtection="1">
      <protection locked="0"/>
    </xf>
    <xf numFmtId="3" fontId="0" fillId="0" borderId="15" xfId="0" applyNumberFormat="1" applyFill="1" applyBorder="1" applyProtection="1">
      <protection locked="0"/>
    </xf>
    <xf numFmtId="3" fontId="0" fillId="5" borderId="3" xfId="0" applyNumberFormat="1" applyFill="1" applyBorder="1"/>
    <xf numFmtId="3" fontId="0" fillId="5" borderId="4" xfId="0" applyNumberFormat="1" applyFill="1" applyBorder="1"/>
    <xf numFmtId="3" fontId="0" fillId="0" borderId="13" xfId="0" applyNumberFormat="1" applyFill="1" applyBorder="1" applyProtection="1">
      <protection locked="0"/>
    </xf>
    <xf numFmtId="0" fontId="6" fillId="0" borderId="12" xfId="0" applyFont="1" applyFill="1" applyBorder="1" applyAlignment="1">
      <alignment horizontal="right" vertical="center"/>
    </xf>
    <xf numFmtId="3" fontId="0" fillId="5" borderId="0" xfId="0" applyNumberFormat="1" applyFill="1" applyBorder="1"/>
    <xf numFmtId="3" fontId="0" fillId="5" borderId="6" xfId="0" applyNumberFormat="1" applyFill="1" applyBorder="1"/>
    <xf numFmtId="0" fontId="6" fillId="0" borderId="3" xfId="0" applyFont="1" applyFill="1" applyBorder="1" applyAlignment="1">
      <alignment horizontal="right" vertical="center"/>
    </xf>
    <xf numFmtId="3" fontId="0" fillId="0" borderId="3" xfId="0" applyNumberFormat="1" applyFont="1" applyFill="1" applyBorder="1" applyProtection="1">
      <protection locked="0"/>
    </xf>
    <xf numFmtId="3" fontId="0" fillId="0" borderId="0" xfId="0" applyNumberFormat="1" applyBorder="1"/>
    <xf numFmtId="3" fontId="3" fillId="0" borderId="14" xfId="0" applyNumberFormat="1" applyFont="1" applyBorder="1" applyProtection="1">
      <protection locked="0"/>
    </xf>
    <xf numFmtId="3" fontId="3" fillId="2" borderId="14" xfId="0" applyNumberFormat="1" applyFont="1" applyFill="1" applyBorder="1" applyProtection="1">
      <protection locked="0"/>
    </xf>
    <xf numFmtId="3" fontId="3" fillId="0" borderId="14" xfId="0" applyNumberFormat="1" applyFont="1" applyFill="1" applyBorder="1" applyProtection="1">
      <protection locked="0"/>
    </xf>
    <xf numFmtId="3" fontId="6" fillId="0" borderId="14" xfId="0" applyNumberFormat="1" applyFont="1" applyFill="1" applyBorder="1" applyProtection="1">
      <protection locked="0"/>
    </xf>
    <xf numFmtId="3" fontId="3" fillId="0" borderId="15" xfId="0" applyNumberFormat="1" applyFont="1" applyFill="1" applyBorder="1" applyProtection="1">
      <protection locked="0"/>
    </xf>
    <xf numFmtId="0" fontId="0" fillId="0" borderId="0" xfId="0" quotePrefix="1"/>
    <xf numFmtId="3" fontId="0" fillId="0" borderId="15" xfId="0" applyNumberFormat="1" applyFill="1" applyBorder="1" applyProtection="1"/>
    <xf numFmtId="3" fontId="4" fillId="5" borderId="3" xfId="0" applyNumberFormat="1" applyFont="1" applyFill="1" applyBorder="1" applyAlignment="1" applyProtection="1">
      <alignment horizontal="center"/>
      <protection locked="0"/>
    </xf>
    <xf numFmtId="3" fontId="4" fillId="5" borderId="4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 applyFont="1" applyFill="1" applyBorder="1" applyProtection="1">
      <protection locked="0"/>
    </xf>
    <xf numFmtId="3" fontId="0" fillId="0" borderId="1" xfId="0" applyNumberFormat="1" applyFont="1" applyFill="1" applyBorder="1" applyProtection="1"/>
    <xf numFmtId="0" fontId="6" fillId="0" borderId="1" xfId="0" applyFont="1" applyFill="1" applyBorder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0" fontId="10" fillId="0" borderId="1" xfId="0" quotePrefix="1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/>
    <xf numFmtId="4" fontId="11" fillId="0" borderId="14" xfId="0" applyNumberFormat="1" applyFont="1" applyBorder="1"/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/>
    <xf numFmtId="4" fontId="11" fillId="2" borderId="14" xfId="0" applyNumberFormat="1" applyFont="1" applyFill="1" applyBorder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/>
    <xf numFmtId="4" fontId="11" fillId="0" borderId="14" xfId="0" applyNumberFormat="1" applyFont="1" applyFill="1" applyBorder="1"/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quotePrefix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1" fillId="0" borderId="5" xfId="0" applyFont="1" applyFill="1" applyBorder="1" applyAlignment="1">
      <alignment horizontal="right" vertical="center"/>
    </xf>
    <xf numFmtId="0" fontId="11" fillId="2" borderId="5" xfId="0" quotePrefix="1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8" xfId="0" applyFont="1" applyFill="1" applyBorder="1"/>
    <xf numFmtId="4" fontId="11" fillId="0" borderId="15" xfId="0" applyNumberFormat="1" applyFont="1" applyFill="1" applyBorder="1"/>
    <xf numFmtId="0" fontId="11" fillId="5" borderId="7" xfId="0" quotePrefix="1" applyFont="1" applyFill="1" applyBorder="1" applyAlignment="1">
      <alignment horizontal="right" vertical="center"/>
    </xf>
    <xf numFmtId="0" fontId="11" fillId="0" borderId="3" xfId="0" applyFont="1" applyFill="1" applyBorder="1"/>
    <xf numFmtId="4" fontId="11" fillId="0" borderId="3" xfId="0" applyNumberFormat="1" applyFont="1" applyFill="1" applyBorder="1"/>
    <xf numFmtId="4" fontId="11" fillId="0" borderId="4" xfId="0" applyNumberFormat="1" applyFont="1" applyFill="1" applyBorder="1"/>
    <xf numFmtId="0" fontId="10" fillId="5" borderId="5" xfId="0" applyFont="1" applyFill="1" applyBorder="1"/>
    <xf numFmtId="0" fontId="11" fillId="0" borderId="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4" fontId="10" fillId="0" borderId="14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10" fillId="0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right"/>
    </xf>
    <xf numFmtId="3" fontId="10" fillId="0" borderId="15" xfId="0" applyNumberFormat="1" applyFont="1" applyFill="1" applyBorder="1"/>
    <xf numFmtId="0" fontId="10" fillId="0" borderId="5" xfId="0" applyFont="1" applyBorder="1"/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/>
    <xf numFmtId="4" fontId="17" fillId="0" borderId="14" xfId="0" applyNumberFormat="1" applyFont="1" applyFill="1" applyBorder="1"/>
    <xf numFmtId="4" fontId="11" fillId="0" borderId="0" xfId="0" applyNumberFormat="1" applyFont="1" applyBorder="1"/>
    <xf numFmtId="4" fontId="10" fillId="0" borderId="0" xfId="0" applyNumberFormat="1" applyFont="1" applyBorder="1"/>
    <xf numFmtId="4" fontId="10" fillId="0" borderId="6" xfId="0" applyNumberFormat="1" applyFont="1" applyBorder="1"/>
    <xf numFmtId="0" fontId="15" fillId="4" borderId="3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4" fontId="10" fillId="2" borderId="14" xfId="0" applyNumberFormat="1" applyFont="1" applyFill="1" applyBorder="1"/>
    <xf numFmtId="0" fontId="18" fillId="0" borderId="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10" fillId="0" borderId="0" xfId="0" applyFont="1" applyBorder="1" applyAlignment="1">
      <alignment horizontal="center"/>
    </xf>
    <xf numFmtId="3" fontId="10" fillId="0" borderId="3" xfId="0" applyNumberFormat="1" applyFont="1" applyBorder="1"/>
    <xf numFmtId="3" fontId="10" fillId="0" borderId="4" xfId="0" applyNumberFormat="1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 applyBorder="1"/>
    <xf numFmtId="0" fontId="10" fillId="0" borderId="6" xfId="0" applyFont="1" applyBorder="1"/>
    <xf numFmtId="3" fontId="14" fillId="0" borderId="7" xfId="0" applyNumberFormat="1" applyFont="1" applyBorder="1" applyProtection="1">
      <protection locked="0"/>
    </xf>
    <xf numFmtId="0" fontId="10" fillId="0" borderId="0" xfId="0" quotePrefix="1" applyFont="1" applyBorder="1"/>
    <xf numFmtId="0" fontId="14" fillId="0" borderId="5" xfId="0" applyFont="1" applyBorder="1"/>
    <xf numFmtId="3" fontId="14" fillId="0" borderId="5" xfId="0" applyNumberFormat="1" applyFont="1" applyBorder="1" applyProtection="1">
      <protection locked="0"/>
    </xf>
    <xf numFmtId="3" fontId="19" fillId="0" borderId="0" xfId="0" applyNumberFormat="1" applyFont="1" applyBorder="1"/>
    <xf numFmtId="0" fontId="16" fillId="0" borderId="0" xfId="0" quotePrefix="1" applyFont="1" applyBorder="1"/>
    <xf numFmtId="9" fontId="10" fillId="0" borderId="7" xfId="3" applyFont="1" applyBorder="1"/>
    <xf numFmtId="0" fontId="10" fillId="0" borderId="8" xfId="0" applyFont="1" applyBorder="1"/>
    <xf numFmtId="0" fontId="10" fillId="0" borderId="8" xfId="0" quotePrefix="1" applyFont="1" applyBorder="1"/>
    <xf numFmtId="0" fontId="10" fillId="0" borderId="9" xfId="0" applyFont="1" applyBorder="1"/>
    <xf numFmtId="165" fontId="10" fillId="0" borderId="1" xfId="0" applyNumberFormat="1" applyFont="1" applyBorder="1" applyProtection="1">
      <protection locked="0"/>
    </xf>
    <xf numFmtId="164" fontId="10" fillId="0" borderId="0" xfId="0" applyNumberFormat="1" applyFont="1" applyBorder="1" applyProtection="1">
      <protection locked="0"/>
    </xf>
    <xf numFmtId="0" fontId="20" fillId="0" borderId="10" xfId="0" applyFont="1" applyBorder="1" applyAlignment="1">
      <alignment horizontal="center" wrapText="1"/>
    </xf>
    <xf numFmtId="0" fontId="20" fillId="0" borderId="11" xfId="0" applyFont="1" applyBorder="1" applyAlignment="1">
      <alignment horizontal="left" vertical="center"/>
    </xf>
    <xf numFmtId="3" fontId="14" fillId="0" borderId="1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165" fontId="10" fillId="0" borderId="11" xfId="0" applyNumberFormat="1" applyFont="1" applyBorder="1" applyAlignment="1" applyProtection="1">
      <alignment horizontal="center" vertical="center"/>
      <protection locked="0"/>
    </xf>
    <xf numFmtId="165" fontId="0" fillId="0" borderId="1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0" fontId="10" fillId="0" borderId="12" xfId="0" applyFont="1" applyBorder="1"/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13" fillId="0" borderId="0" xfId="1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13" fillId="0" borderId="0" xfId="1" applyFont="1" applyBorder="1"/>
    <xf numFmtId="0" fontId="11" fillId="0" borderId="5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5" xfId="0" quotePrefix="1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left" vertical="center"/>
    </xf>
    <xf numFmtId="0" fontId="11" fillId="2" borderId="5" xfId="0" quotePrefix="1" applyFont="1" applyFill="1" applyBorder="1" applyAlignment="1">
      <alignment horizontal="left" vertical="center"/>
    </xf>
    <xf numFmtId="0" fontId="11" fillId="0" borderId="5" xfId="0" quotePrefix="1" applyFont="1" applyBorder="1" applyAlignment="1">
      <alignment horizontal="left" vertical="center"/>
    </xf>
    <xf numFmtId="0" fontId="11" fillId="5" borderId="5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left" vertical="center"/>
    </xf>
    <xf numFmtId="3" fontId="19" fillId="0" borderId="6" xfId="0" applyNumberFormat="1" applyFont="1" applyBorder="1"/>
    <xf numFmtId="0" fontId="10" fillId="6" borderId="5" xfId="0" applyFont="1" applyFill="1" applyBorder="1"/>
    <xf numFmtId="0" fontId="10" fillId="6" borderId="0" xfId="0" applyFont="1" applyFill="1" applyBorder="1"/>
    <xf numFmtId="0" fontId="10" fillId="6" borderId="6" xfId="0" applyFont="1" applyFill="1" applyBorder="1"/>
    <xf numFmtId="0" fontId="10" fillId="7" borderId="5" xfId="0" applyFont="1" applyFill="1" applyBorder="1"/>
    <xf numFmtId="0" fontId="10" fillId="7" borderId="0" xfId="0" applyFont="1" applyFill="1" applyBorder="1"/>
    <xf numFmtId="0" fontId="10" fillId="7" borderId="6" xfId="0" applyFont="1" applyFill="1" applyBorder="1"/>
    <xf numFmtId="0" fontId="10" fillId="0" borderId="7" xfId="0" applyFont="1" applyBorder="1"/>
    <xf numFmtId="0" fontId="10" fillId="0" borderId="8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 applyProtection="1">
      <alignment vertical="center"/>
      <protection locked="0"/>
    </xf>
    <xf numFmtId="2" fontId="3" fillId="2" borderId="0" xfId="0" applyNumberFormat="1" applyFont="1" applyFill="1" applyBorder="1" applyAlignment="1">
      <alignment horizontal="left" vertical="center"/>
    </xf>
    <xf numFmtId="3" fontId="14" fillId="0" borderId="13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Border="1" applyAlignment="1">
      <alignment horizontal="center" wrapText="1"/>
    </xf>
    <xf numFmtId="3" fontId="10" fillId="5" borderId="7" xfId="0" applyNumberFormat="1" applyFont="1" applyFill="1" applyBorder="1" applyAlignment="1" applyProtection="1">
      <alignment horizontal="right" vertical="center"/>
      <protection locked="0"/>
    </xf>
    <xf numFmtId="3" fontId="10" fillId="5" borderId="8" xfId="0" applyNumberFormat="1" applyFont="1" applyFill="1" applyBorder="1" applyAlignment="1" applyProtection="1">
      <alignment horizontal="right" vertical="center"/>
      <protection locked="0"/>
    </xf>
    <xf numFmtId="3" fontId="10" fillId="5" borderId="9" xfId="0" applyNumberFormat="1" applyFont="1" applyFill="1" applyBorder="1" applyProtection="1">
      <protection locked="0"/>
    </xf>
    <xf numFmtId="0" fontId="0" fillId="2" borderId="0" xfId="0" applyFill="1" applyAlignment="1">
      <alignment horizontal="center"/>
    </xf>
    <xf numFmtId="0" fontId="10" fillId="0" borderId="4" xfId="0" applyFont="1" applyBorder="1" applyAlignment="1">
      <alignment horizontal="center" vertical="center"/>
    </xf>
    <xf numFmtId="3" fontId="10" fillId="5" borderId="2" xfId="0" applyNumberFormat="1" applyFont="1" applyFill="1" applyBorder="1" applyAlignment="1" applyProtection="1">
      <alignment horizontal="right" vertical="center"/>
    </xf>
    <xf numFmtId="3" fontId="10" fillId="5" borderId="4" xfId="0" applyNumberFormat="1" applyFont="1" applyFill="1" applyBorder="1" applyAlignment="1" applyProtection="1">
      <alignment horizontal="right" vertical="center"/>
    </xf>
    <xf numFmtId="37" fontId="14" fillId="5" borderId="3" xfId="0" applyNumberFormat="1" applyFont="1" applyFill="1" applyBorder="1" applyAlignment="1" applyProtection="1">
      <alignment horizontal="right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5" xfId="0" applyFont="1" applyFill="1" applyBorder="1"/>
    <xf numFmtId="0" fontId="10" fillId="0" borderId="10" xfId="0" applyFont="1" applyFill="1" applyBorder="1" applyAlignment="1">
      <alignment horizontal="center"/>
    </xf>
    <xf numFmtId="0" fontId="10" fillId="0" borderId="3" xfId="0" applyFont="1" applyFill="1" applyBorder="1"/>
    <xf numFmtId="3" fontId="10" fillId="0" borderId="10" xfId="0" applyNumberFormat="1" applyFont="1" applyBorder="1"/>
    <xf numFmtId="0" fontId="10" fillId="0" borderId="11" xfId="0" applyFont="1" applyBorder="1" applyAlignment="1">
      <alignment horizontal="center" wrapText="1"/>
    </xf>
    <xf numFmtId="0" fontId="10" fillId="0" borderId="2" xfId="0" applyFont="1" applyFill="1" applyBorder="1"/>
    <xf numFmtId="0" fontId="15" fillId="0" borderId="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3" fontId="14" fillId="0" borderId="14" xfId="0" applyNumberFormat="1" applyFont="1" applyFill="1" applyBorder="1" applyAlignment="1" applyProtection="1">
      <alignment horizontal="right" vertical="center"/>
      <protection locked="0"/>
    </xf>
    <xf numFmtId="0" fontId="10" fillId="0" borderId="0" xfId="0" applyFont="1" applyBorder="1" applyAlignment="1">
      <alignment horizontal="center" vertical="center"/>
    </xf>
    <xf numFmtId="0" fontId="15" fillId="3" borderId="0" xfId="0" applyFont="1" applyFill="1" applyBorder="1" applyAlignment="1">
      <alignment horizontal="right"/>
    </xf>
    <xf numFmtId="3" fontId="10" fillId="0" borderId="14" xfId="0" applyNumberFormat="1" applyFont="1" applyBorder="1"/>
    <xf numFmtId="0" fontId="10" fillId="0" borderId="17" xfId="0" applyFont="1" applyFill="1" applyBorder="1"/>
    <xf numFmtId="0" fontId="18" fillId="0" borderId="18" xfId="0" applyFont="1" applyBorder="1" applyAlignment="1">
      <alignment horizontal="center"/>
    </xf>
    <xf numFmtId="3" fontId="14" fillId="0" borderId="16" xfId="0" applyNumberFormat="1" applyFont="1" applyBorder="1" applyAlignment="1">
      <alignment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3" fontId="14" fillId="2" borderId="1" xfId="0" applyNumberFormat="1" applyFont="1" applyFill="1" applyBorder="1" applyAlignment="1" applyProtection="1">
      <alignment horizontal="right" vertical="center"/>
      <protection locked="0"/>
    </xf>
    <xf numFmtId="0" fontId="21" fillId="2" borderId="20" xfId="0" applyFont="1" applyFill="1" applyBorder="1" applyAlignment="1">
      <alignment horizontal="right" vertical="center"/>
    </xf>
    <xf numFmtId="0" fontId="18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3" fontId="14" fillId="2" borderId="19" xfId="0" applyNumberFormat="1" applyFont="1" applyFill="1" applyBorder="1" applyAlignment="1" applyProtection="1">
      <alignment horizontal="right" vertical="center"/>
      <protection locked="0"/>
    </xf>
    <xf numFmtId="0" fontId="10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3" fontId="14" fillId="0" borderId="1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3" fontId="3" fillId="0" borderId="15" xfId="0" applyNumberFormat="1" applyFont="1" applyFill="1" applyBorder="1"/>
    <xf numFmtId="3" fontId="3" fillId="0" borderId="0" xfId="0" applyNumberFormat="1" applyFont="1"/>
    <xf numFmtId="3" fontId="3" fillId="0" borderId="1" xfId="0" applyNumberFormat="1" applyFont="1" applyBorder="1" applyProtection="1"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3" fillId="2" borderId="5" xfId="0" quotePrefix="1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0" borderId="5" xfId="0" quotePrefix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0" borderId="0" xfId="0" quotePrefix="1" applyFill="1" applyAlignment="1" applyProtection="1">
      <alignment horizontal="center"/>
      <protection locked="0"/>
    </xf>
    <xf numFmtId="0" fontId="0" fillId="2" borderId="0" xfId="0" quotePrefix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4" fontId="0" fillId="0" borderId="0" xfId="0" applyNumberFormat="1" applyFill="1" applyBorder="1" applyProtection="1">
      <protection locked="0"/>
    </xf>
    <xf numFmtId="0" fontId="0" fillId="0" borderId="0" xfId="0" quotePrefix="1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left"/>
      <protection locked="0"/>
    </xf>
    <xf numFmtId="0" fontId="0" fillId="2" borderId="0" xfId="0" quotePrefix="1" applyFont="1" applyFill="1" applyBorder="1" applyAlignment="1" applyProtection="1">
      <alignment horizontal="center"/>
      <protection locked="0"/>
    </xf>
    <xf numFmtId="0" fontId="0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4" fontId="3" fillId="0" borderId="0" xfId="0" applyNumberFormat="1" applyFont="1" applyFill="1" applyBorder="1"/>
    <xf numFmtId="0" fontId="3" fillId="2" borderId="0" xfId="0" quotePrefix="1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Protection="1">
      <protection locked="0"/>
    </xf>
    <xf numFmtId="0" fontId="3" fillId="0" borderId="0" xfId="0" quotePrefix="1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0" fillId="0" borderId="0" xfId="0" applyProtection="1"/>
    <xf numFmtId="0" fontId="0" fillId="2" borderId="5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18" fillId="0" borderId="3" xfId="0" applyFont="1" applyFill="1" applyBorder="1" applyAlignment="1" applyProtection="1">
      <alignment vertical="center" wrapText="1"/>
      <protection locked="0"/>
    </xf>
    <xf numFmtId="0" fontId="18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0" fillId="0" borderId="10" xfId="0" applyFont="1" applyFill="1" applyBorder="1" applyAlignment="1">
      <alignment vertical="center"/>
    </xf>
    <xf numFmtId="3" fontId="10" fillId="0" borderId="1" xfId="0" applyNumberFormat="1" applyFont="1" applyBorder="1" applyAlignment="1" applyProtection="1">
      <alignment vertical="center"/>
      <protection locked="0"/>
    </xf>
    <xf numFmtId="3" fontId="10" fillId="2" borderId="1" xfId="0" applyNumberFormat="1" applyFont="1" applyFill="1" applyBorder="1" applyAlignment="1" applyProtection="1">
      <alignment vertical="center"/>
      <protection locked="0"/>
    </xf>
    <xf numFmtId="9" fontId="14" fillId="0" borderId="7" xfId="3" applyFont="1" applyBorder="1"/>
    <xf numFmtId="0" fontId="19" fillId="0" borderId="0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10" fillId="0" borderId="6" xfId="0" applyFont="1" applyBorder="1" applyProtection="1">
      <protection locked="0"/>
    </xf>
    <xf numFmtId="0" fontId="14" fillId="0" borderId="0" xfId="0" applyFont="1" applyBorder="1" applyProtection="1">
      <protection locked="0"/>
    </xf>
    <xf numFmtId="3" fontId="19" fillId="0" borderId="0" xfId="0" applyNumberFormat="1" applyFont="1" applyBorder="1" applyProtection="1">
      <protection locked="0"/>
    </xf>
    <xf numFmtId="0" fontId="19" fillId="0" borderId="6" xfId="0" applyFont="1" applyBorder="1" applyProtection="1">
      <protection locked="0"/>
    </xf>
    <xf numFmtId="0" fontId="14" fillId="0" borderId="5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wrapText="1"/>
    </xf>
    <xf numFmtId="0" fontId="16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 applyProtection="1">
      <alignment horizontal="left" vertical="center" wrapText="1"/>
      <protection locked="0"/>
    </xf>
    <xf numFmtId="0" fontId="10" fillId="0" borderId="8" xfId="0" applyFont="1" applyFill="1" applyBorder="1" applyAlignment="1" applyProtection="1">
      <alignment horizontal="left" vertical="center" wrapText="1"/>
      <protection locked="0"/>
    </xf>
    <xf numFmtId="0" fontId="10" fillId="0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4">
    <cellStyle name="Hyperlink" xfId="1" builtinId="8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D10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100</xdr:row>
          <xdr:rowOff>7620</xdr:rowOff>
        </xdr:from>
        <xdr:to>
          <xdr:col>3</xdr:col>
          <xdr:colOff>7620</xdr:colOff>
          <xdr:row>101</xdr:row>
          <xdr:rowOff>7620</xdr:rowOff>
        </xdr:to>
        <xdr:sp macro="" textlink="">
          <xdr:nvSpPr>
            <xdr:cNvPr id="3079" name="Option 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County, City of the First or Second Class, or Village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101</xdr:row>
          <xdr:rowOff>22860</xdr:rowOff>
        </xdr:from>
        <xdr:to>
          <xdr:col>3</xdr:col>
          <xdr:colOff>7620</xdr:colOff>
          <xdr:row>102</xdr:row>
          <xdr:rowOff>0</xdr:rowOff>
        </xdr:to>
        <xdr:sp macro="" textlink="">
          <xdr:nvSpPr>
            <xdr:cNvPr id="3080" name="Option Button 8" descr="City of the Primary or Metropolitan Class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City of the Metropolitan or Primary Class</a:t>
              </a:r>
            </a:p>
          </xdr:txBody>
        </xdr:sp>
        <xdr:clientData fLocksWithSheet="0"/>
      </xdr:twoCellAnchor>
    </mc:Choice>
    <mc:Fallback/>
  </mc:AlternateContent>
  <xdr:twoCellAnchor>
    <xdr:from>
      <xdr:col>2</xdr:col>
      <xdr:colOff>2895600</xdr:colOff>
      <xdr:row>117</xdr:row>
      <xdr:rowOff>85725</xdr:rowOff>
    </xdr:from>
    <xdr:to>
      <xdr:col>3</xdr:col>
      <xdr:colOff>69342</xdr:colOff>
      <xdr:row>118</xdr:row>
      <xdr:rowOff>59817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38600" y="11953875"/>
          <a:ext cx="164592" cy="1645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2</xdr:col>
      <xdr:colOff>2895600</xdr:colOff>
      <xdr:row>113</xdr:row>
      <xdr:rowOff>85725</xdr:rowOff>
    </xdr:from>
    <xdr:to>
      <xdr:col>3</xdr:col>
      <xdr:colOff>69342</xdr:colOff>
      <xdr:row>114</xdr:row>
      <xdr:rowOff>59817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038600" y="10848975"/>
          <a:ext cx="164592" cy="1645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14289</xdr:colOff>
      <xdr:row>96</xdr:row>
      <xdr:rowOff>14288</xdr:rowOff>
    </xdr:from>
    <xdr:to>
      <xdr:col>0</xdr:col>
      <xdr:colOff>136663</xdr:colOff>
      <xdr:row>109</xdr:row>
      <xdr:rowOff>33338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289" y="8876679"/>
          <a:ext cx="122374" cy="18495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3</xdr:col>
      <xdr:colOff>8282</xdr:colOff>
      <xdr:row>100</xdr:row>
      <xdr:rowOff>4141</xdr:rowOff>
    </xdr:from>
    <xdr:to>
      <xdr:col>3</xdr:col>
      <xdr:colOff>1176130</xdr:colOff>
      <xdr:row>100</xdr:row>
      <xdr:rowOff>173936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39478" y="9380054"/>
          <a:ext cx="1167848" cy="169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protect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uditors.nebraska.gov/County_Info/County_Manual.html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ditors.nebraska.gov/County_Info/County_Manual.html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H120"/>
  <sheetViews>
    <sheetView tabSelected="1" zoomScale="115" zoomScaleNormal="115" workbookViewId="0"/>
  </sheetViews>
  <sheetFormatPr defaultRowHeight="14.4" x14ac:dyDescent="0.3"/>
  <cols>
    <col min="1" max="1" width="17.109375" customWidth="1"/>
    <col min="2" max="2" width="0" hidden="1" customWidth="1"/>
    <col min="3" max="3" width="44.88671875" customWidth="1"/>
    <col min="4" max="6" width="16.77734375" customWidth="1"/>
  </cols>
  <sheetData>
    <row r="1" spans="1:6" ht="6" customHeight="1" x14ac:dyDescent="0.3">
      <c r="A1" s="209"/>
      <c r="B1" s="210"/>
      <c r="C1" s="210"/>
      <c r="D1" s="210"/>
      <c r="E1" s="210"/>
      <c r="F1" s="211"/>
    </row>
    <row r="2" spans="1:6" ht="6" customHeight="1" x14ac:dyDescent="0.3">
      <c r="A2" s="240"/>
      <c r="B2" s="241"/>
      <c r="C2" s="241"/>
      <c r="D2" s="241"/>
      <c r="E2" s="241"/>
      <c r="F2" s="242"/>
    </row>
    <row r="3" spans="1:6" ht="14.4" customHeight="1" x14ac:dyDescent="0.3">
      <c r="A3" s="240"/>
      <c r="B3" s="241"/>
      <c r="C3" s="241"/>
      <c r="D3" s="241"/>
      <c r="E3" s="241"/>
      <c r="F3" s="242"/>
    </row>
    <row r="4" spans="1:6" ht="15" customHeight="1" x14ac:dyDescent="0.3">
      <c r="A4" s="243" t="s">
        <v>404</v>
      </c>
      <c r="B4" s="241"/>
      <c r="C4" s="244" t="s">
        <v>112</v>
      </c>
      <c r="D4" s="184" t="s">
        <v>406</v>
      </c>
      <c r="E4" s="241"/>
      <c r="F4" s="242"/>
    </row>
    <row r="5" spans="1:6" ht="15" customHeight="1" x14ac:dyDescent="0.3">
      <c r="A5" s="243"/>
      <c r="B5" s="241"/>
      <c r="C5" s="245"/>
      <c r="D5" s="246" t="s">
        <v>403</v>
      </c>
      <c r="E5" s="241"/>
      <c r="F5" s="242"/>
    </row>
    <row r="6" spans="1:6" x14ac:dyDescent="0.3">
      <c r="A6" s="247"/>
      <c r="B6" s="212"/>
      <c r="C6" s="248" t="s">
        <v>418</v>
      </c>
      <c r="D6" s="212"/>
      <c r="E6" s="212"/>
      <c r="F6" s="213"/>
    </row>
    <row r="7" spans="1:6" ht="6" customHeight="1" x14ac:dyDescent="0.3">
      <c r="A7" s="247"/>
      <c r="B7" s="212"/>
      <c r="C7" s="249"/>
      <c r="D7" s="212"/>
      <c r="E7" s="212"/>
      <c r="F7" s="213"/>
    </row>
    <row r="8" spans="1:6" ht="27" x14ac:dyDescent="0.3">
      <c r="A8" s="226" t="s">
        <v>26</v>
      </c>
      <c r="B8" s="373"/>
      <c r="C8" s="374"/>
      <c r="D8" s="227" t="s">
        <v>25</v>
      </c>
      <c r="E8" s="233"/>
      <c r="F8" s="152"/>
    </row>
    <row r="9" spans="1:6" ht="6" customHeight="1" x14ac:dyDescent="0.3">
      <c r="A9" s="286"/>
      <c r="B9" s="151"/>
      <c r="C9" s="151"/>
      <c r="D9" s="150"/>
      <c r="E9" s="151"/>
      <c r="F9" s="151"/>
    </row>
    <row r="10" spans="1:6" ht="28.2" x14ac:dyDescent="0.3">
      <c r="A10" s="235" t="s">
        <v>0</v>
      </c>
      <c r="B10" s="375" t="s">
        <v>1</v>
      </c>
      <c r="C10" s="375"/>
      <c r="D10" s="235" t="s">
        <v>415</v>
      </c>
      <c r="E10" s="235" t="s">
        <v>416</v>
      </c>
      <c r="F10" s="235" t="s">
        <v>417</v>
      </c>
    </row>
    <row r="11" spans="1:6" ht="6" customHeight="1" x14ac:dyDescent="0.3">
      <c r="A11" s="286"/>
      <c r="B11" s="286"/>
      <c r="C11" s="286"/>
      <c r="D11" s="286"/>
      <c r="E11" s="286"/>
      <c r="F11" s="286"/>
    </row>
    <row r="12" spans="1:6" ht="21" customHeight="1" x14ac:dyDescent="0.3">
      <c r="A12" s="281" t="s">
        <v>452</v>
      </c>
      <c r="B12" s="151"/>
      <c r="C12" s="277" t="s">
        <v>136</v>
      </c>
      <c r="D12" s="153"/>
      <c r="E12" s="153">
        <f>+D12</f>
        <v>0</v>
      </c>
      <c r="F12" s="269"/>
    </row>
    <row r="13" spans="1:6" ht="21" customHeight="1" x14ac:dyDescent="0.3">
      <c r="A13" s="384" t="s">
        <v>453</v>
      </c>
      <c r="B13" s="385"/>
      <c r="C13" s="386"/>
      <c r="D13" s="278"/>
      <c r="E13" s="280"/>
      <c r="F13" s="279"/>
    </row>
    <row r="14" spans="1:6" ht="41.7" customHeight="1" x14ac:dyDescent="0.3">
      <c r="A14" s="387"/>
      <c r="B14" s="388"/>
      <c r="C14" s="389"/>
      <c r="D14" s="273"/>
      <c r="E14" s="274"/>
      <c r="F14" s="275"/>
    </row>
    <row r="15" spans="1:6" ht="69" x14ac:dyDescent="0.3">
      <c r="A15" s="154" t="s">
        <v>402</v>
      </c>
      <c r="B15" s="155"/>
      <c r="C15" s="156" t="s">
        <v>423</v>
      </c>
      <c r="D15" s="228">
        <f>+'Revenu Data'!D41</f>
        <v>0</v>
      </c>
      <c r="E15" s="228">
        <f>+'Revenu Data'!E41</f>
        <v>0</v>
      </c>
      <c r="F15" s="228">
        <f>+'Revenu Data'!F41</f>
        <v>0</v>
      </c>
    </row>
    <row r="16" spans="1:6" ht="15.6" hidden="1" x14ac:dyDescent="0.3">
      <c r="A16" s="250" t="s">
        <v>95</v>
      </c>
      <c r="B16" s="157"/>
      <c r="C16" s="158" t="s">
        <v>70</v>
      </c>
      <c r="D16" s="159"/>
      <c r="E16" s="159"/>
      <c r="F16" s="159"/>
    </row>
    <row r="17" spans="1:7" ht="15.6" hidden="1" x14ac:dyDescent="0.3">
      <c r="A17" s="251">
        <v>310</v>
      </c>
      <c r="B17" s="160"/>
      <c r="C17" s="161" t="s">
        <v>71</v>
      </c>
      <c r="D17" s="162"/>
      <c r="E17" s="162"/>
      <c r="F17" s="162"/>
    </row>
    <row r="18" spans="1:7" ht="15.6" hidden="1" x14ac:dyDescent="0.3">
      <c r="A18" s="250" t="s">
        <v>96</v>
      </c>
      <c r="B18" s="157"/>
      <c r="C18" s="158" t="s">
        <v>72</v>
      </c>
      <c r="D18" s="159"/>
      <c r="E18" s="159"/>
      <c r="F18" s="159"/>
    </row>
    <row r="19" spans="1:7" ht="15.6" hidden="1" x14ac:dyDescent="0.3">
      <c r="A19" s="251" t="s">
        <v>120</v>
      </c>
      <c r="B19" s="160"/>
      <c r="C19" s="161" t="s">
        <v>121</v>
      </c>
      <c r="D19" s="162"/>
      <c r="E19" s="162"/>
      <c r="F19" s="162"/>
    </row>
    <row r="20" spans="1:7" ht="15.6" hidden="1" x14ac:dyDescent="0.3">
      <c r="A20" s="252">
        <v>316.01</v>
      </c>
      <c r="B20" s="163"/>
      <c r="C20" s="164" t="s">
        <v>73</v>
      </c>
      <c r="D20" s="165"/>
      <c r="E20" s="165"/>
      <c r="F20" s="165"/>
    </row>
    <row r="21" spans="1:7" ht="15.6" hidden="1" x14ac:dyDescent="0.3">
      <c r="A21" s="251">
        <v>317</v>
      </c>
      <c r="B21" s="160"/>
      <c r="C21" s="161" t="s">
        <v>157</v>
      </c>
      <c r="D21" s="162"/>
      <c r="E21" s="162"/>
      <c r="F21" s="162"/>
      <c r="G21" t="s">
        <v>156</v>
      </c>
    </row>
    <row r="22" spans="1:7" ht="15.6" hidden="1" x14ac:dyDescent="0.3">
      <c r="A22" s="252">
        <v>318</v>
      </c>
      <c r="B22" s="163"/>
      <c r="C22" s="164" t="s">
        <v>74</v>
      </c>
      <c r="D22" s="165"/>
      <c r="E22" s="165"/>
      <c r="F22" s="165"/>
    </row>
    <row r="23" spans="1:7" ht="15.6" hidden="1" x14ac:dyDescent="0.3">
      <c r="A23" s="251" t="s">
        <v>97</v>
      </c>
      <c r="B23" s="160"/>
      <c r="C23" s="161" t="s">
        <v>116</v>
      </c>
      <c r="D23" s="162"/>
      <c r="E23" s="162"/>
      <c r="F23" s="162"/>
    </row>
    <row r="24" spans="1:7" ht="15.6" hidden="1" x14ac:dyDescent="0.3">
      <c r="A24" s="166" t="s">
        <v>118</v>
      </c>
      <c r="B24" s="167"/>
      <c r="C24" s="379" t="s">
        <v>145</v>
      </c>
      <c r="D24" s="379"/>
      <c r="E24" s="379"/>
      <c r="F24" s="380"/>
    </row>
    <row r="25" spans="1:7" ht="15.6" hidden="1" x14ac:dyDescent="0.3">
      <c r="A25" s="168" t="s">
        <v>154</v>
      </c>
      <c r="B25" s="163"/>
      <c r="C25" s="169" t="s">
        <v>153</v>
      </c>
      <c r="D25" s="169"/>
      <c r="E25" s="169"/>
      <c r="F25" s="170"/>
      <c r="G25" t="s">
        <v>146</v>
      </c>
    </row>
    <row r="26" spans="1:7" ht="15.6" hidden="1" x14ac:dyDescent="0.3">
      <c r="A26" s="171">
        <v>510</v>
      </c>
      <c r="B26" s="157"/>
      <c r="C26" s="161" t="s">
        <v>75</v>
      </c>
      <c r="D26" s="162"/>
      <c r="E26" s="162"/>
      <c r="F26" s="162"/>
    </row>
    <row r="27" spans="1:7" ht="15.6" hidden="1" x14ac:dyDescent="0.3">
      <c r="A27" s="172">
        <v>520.01</v>
      </c>
      <c r="B27" s="157"/>
      <c r="C27" s="164" t="s">
        <v>115</v>
      </c>
      <c r="D27" s="159"/>
      <c r="E27" s="159"/>
      <c r="F27" s="159"/>
    </row>
    <row r="28" spans="1:7" ht="15.6" hidden="1" x14ac:dyDescent="0.3">
      <c r="A28" s="171">
        <v>520.02</v>
      </c>
      <c r="B28" s="157"/>
      <c r="C28" s="161" t="s">
        <v>114</v>
      </c>
      <c r="D28" s="162"/>
      <c r="E28" s="162"/>
      <c r="F28" s="162"/>
    </row>
    <row r="29" spans="1:7" ht="15.6" hidden="1" x14ac:dyDescent="0.3">
      <c r="A29" s="173">
        <v>530</v>
      </c>
      <c r="B29" s="163"/>
      <c r="C29" s="164" t="s">
        <v>117</v>
      </c>
      <c r="D29" s="165"/>
      <c r="E29" s="165"/>
      <c r="F29" s="165"/>
    </row>
    <row r="30" spans="1:7" ht="15.6" hidden="1" x14ac:dyDescent="0.3">
      <c r="A30" s="174" t="s">
        <v>155</v>
      </c>
      <c r="B30" s="160"/>
      <c r="C30" s="161" t="s">
        <v>160</v>
      </c>
      <c r="D30" s="162"/>
      <c r="E30" s="162"/>
      <c r="F30" s="162"/>
    </row>
    <row r="31" spans="1:7" ht="15.6" hidden="1" x14ac:dyDescent="0.3">
      <c r="A31" s="175"/>
      <c r="B31" s="176"/>
      <c r="C31" s="177" t="s">
        <v>119</v>
      </c>
      <c r="D31" s="178"/>
      <c r="E31" s="178"/>
      <c r="F31" s="178"/>
    </row>
    <row r="32" spans="1:7" ht="15.6" hidden="1" x14ac:dyDescent="0.3">
      <c r="A32" s="166" t="s">
        <v>139</v>
      </c>
      <c r="B32" s="167"/>
      <c r="C32" s="379" t="s">
        <v>144</v>
      </c>
      <c r="D32" s="379"/>
      <c r="E32" s="379"/>
      <c r="F32" s="380"/>
    </row>
    <row r="33" spans="1:8" ht="15.6" hidden="1" x14ac:dyDescent="0.3">
      <c r="A33" s="168" t="s">
        <v>140</v>
      </c>
      <c r="B33" s="163"/>
      <c r="C33" s="164" t="s">
        <v>141</v>
      </c>
      <c r="D33" s="165"/>
      <c r="E33" s="165"/>
      <c r="F33" s="165"/>
    </row>
    <row r="34" spans="1:8" ht="15.6" hidden="1" x14ac:dyDescent="0.3">
      <c r="A34" s="174" t="s">
        <v>142</v>
      </c>
      <c r="B34" s="160"/>
      <c r="C34" s="161" t="s">
        <v>143</v>
      </c>
      <c r="D34" s="162"/>
      <c r="E34" s="162"/>
      <c r="F34" s="162"/>
    </row>
    <row r="35" spans="1:8" ht="15.6" hidden="1" x14ac:dyDescent="0.3">
      <c r="A35" s="179"/>
      <c r="B35" s="176"/>
      <c r="C35" s="177" t="s">
        <v>163</v>
      </c>
      <c r="D35" s="178"/>
      <c r="E35" s="178"/>
      <c r="F35" s="178"/>
    </row>
    <row r="36" spans="1:8" ht="15.6" hidden="1" x14ac:dyDescent="0.3">
      <c r="A36" s="166">
        <v>590</v>
      </c>
      <c r="B36" s="167"/>
      <c r="C36" s="180" t="s">
        <v>148</v>
      </c>
      <c r="D36" s="181"/>
      <c r="E36" s="181"/>
      <c r="F36" s="182"/>
    </row>
    <row r="37" spans="1:8" ht="15.6" hidden="1" x14ac:dyDescent="0.3">
      <c r="A37" s="168">
        <v>590.01</v>
      </c>
      <c r="B37" s="163"/>
      <c r="C37" s="164" t="s">
        <v>149</v>
      </c>
      <c r="D37" s="165"/>
      <c r="E37" s="165"/>
      <c r="F37" s="165"/>
    </row>
    <row r="38" spans="1:8" ht="15.6" hidden="1" x14ac:dyDescent="0.3">
      <c r="A38" s="174">
        <v>590.02</v>
      </c>
      <c r="B38" s="160"/>
      <c r="C38" s="161" t="s">
        <v>150</v>
      </c>
      <c r="D38" s="162"/>
      <c r="E38" s="162"/>
      <c r="F38" s="162"/>
    </row>
    <row r="39" spans="1:8" ht="15.6" hidden="1" x14ac:dyDescent="0.3">
      <c r="A39" s="168">
        <v>590.03</v>
      </c>
      <c r="B39" s="163"/>
      <c r="C39" s="164" t="s">
        <v>151</v>
      </c>
      <c r="D39" s="165"/>
      <c r="E39" s="165"/>
      <c r="F39" s="165"/>
    </row>
    <row r="40" spans="1:8" ht="15.6" hidden="1" x14ac:dyDescent="0.3">
      <c r="A40" s="174">
        <v>590.04</v>
      </c>
      <c r="B40" s="160"/>
      <c r="C40" s="161" t="s">
        <v>152</v>
      </c>
      <c r="D40" s="162"/>
      <c r="E40" s="162"/>
      <c r="F40" s="162"/>
    </row>
    <row r="41" spans="1:8" ht="15.6" hidden="1" x14ac:dyDescent="0.3">
      <c r="A41" s="175"/>
      <c r="B41" s="176"/>
      <c r="C41" s="177" t="s">
        <v>164</v>
      </c>
      <c r="D41" s="178"/>
      <c r="E41" s="178"/>
      <c r="F41" s="178"/>
    </row>
    <row r="42" spans="1:8" ht="15.6" hidden="1" x14ac:dyDescent="0.3">
      <c r="A42" s="183"/>
      <c r="B42" s="212"/>
      <c r="C42" s="184" t="s">
        <v>76</v>
      </c>
      <c r="D42" s="185"/>
      <c r="E42" s="186"/>
      <c r="F42" s="186"/>
    </row>
    <row r="43" spans="1:8" hidden="1" x14ac:dyDescent="0.3">
      <c r="A43" s="183"/>
      <c r="B43" s="187"/>
      <c r="C43" s="188"/>
      <c r="D43" s="186"/>
      <c r="E43" s="186"/>
      <c r="F43" s="186"/>
    </row>
    <row r="44" spans="1:8" hidden="1" x14ac:dyDescent="0.3">
      <c r="A44" s="183"/>
      <c r="B44" s="187"/>
      <c r="C44" s="188"/>
      <c r="D44" s="186"/>
      <c r="E44" s="186"/>
      <c r="F44" s="186"/>
    </row>
    <row r="45" spans="1:8" ht="17.399999999999999" hidden="1" x14ac:dyDescent="0.3">
      <c r="A45" s="183"/>
      <c r="B45" s="189"/>
      <c r="C45" s="190" t="s">
        <v>80</v>
      </c>
      <c r="D45" s="191">
        <f>SUM(D16:D44)</f>
        <v>0</v>
      </c>
      <c r="E45" s="191">
        <f>SUM(E16:E44)</f>
        <v>0</v>
      </c>
      <c r="F45" s="191">
        <f>SUM(F16:F44)</f>
        <v>0</v>
      </c>
    </row>
    <row r="46" spans="1:8" ht="17.399999999999999" x14ac:dyDescent="0.3">
      <c r="A46" s="307" t="s">
        <v>122</v>
      </c>
      <c r="B46" s="308"/>
      <c r="C46" s="307" t="s">
        <v>401</v>
      </c>
      <c r="D46" s="302">
        <f>+'Revenu Data'!D63</f>
        <v>0</v>
      </c>
      <c r="E46" s="302">
        <f>+'Revenu Data'!E63</f>
        <v>0.01</v>
      </c>
      <c r="F46" s="302">
        <f>+'Revenu Data'!F63</f>
        <v>0</v>
      </c>
    </row>
    <row r="47" spans="1:8" ht="15.6" hidden="1" x14ac:dyDescent="0.3">
      <c r="A47" s="253" t="s">
        <v>126</v>
      </c>
      <c r="B47" s="163"/>
      <c r="C47" s="164" t="s">
        <v>125</v>
      </c>
      <c r="D47" s="165"/>
      <c r="E47" s="165"/>
      <c r="F47" s="165"/>
      <c r="G47" t="s">
        <v>127</v>
      </c>
      <c r="H47" t="s">
        <v>158</v>
      </c>
    </row>
    <row r="48" spans="1:8" ht="15.6" hidden="1" x14ac:dyDescent="0.3">
      <c r="A48" s="251">
        <v>344.01</v>
      </c>
      <c r="B48" s="160"/>
      <c r="C48" s="161" t="s">
        <v>77</v>
      </c>
      <c r="D48" s="162"/>
      <c r="E48" s="162"/>
      <c r="F48" s="162"/>
    </row>
    <row r="49" spans="1:7" ht="15.6" hidden="1" x14ac:dyDescent="0.3">
      <c r="A49" s="252">
        <v>344.05</v>
      </c>
      <c r="B49" s="163"/>
      <c r="C49" s="164" t="s">
        <v>128</v>
      </c>
      <c r="D49" s="165"/>
      <c r="E49" s="165"/>
      <c r="F49" s="165"/>
    </row>
    <row r="50" spans="1:7" ht="15.6" hidden="1" x14ac:dyDescent="0.3">
      <c r="A50" s="251">
        <v>345.05</v>
      </c>
      <c r="B50" s="160"/>
      <c r="C50" s="161" t="s">
        <v>129</v>
      </c>
      <c r="D50" s="162"/>
      <c r="E50" s="162"/>
      <c r="F50" s="162"/>
    </row>
    <row r="51" spans="1:7" ht="15.6" hidden="1" x14ac:dyDescent="0.3">
      <c r="A51" s="252">
        <v>345.06</v>
      </c>
      <c r="B51" s="163"/>
      <c r="C51" s="164" t="s">
        <v>131</v>
      </c>
      <c r="D51" s="165"/>
      <c r="E51" s="165"/>
      <c r="F51" s="165"/>
    </row>
    <row r="52" spans="1:7" ht="15.6" hidden="1" x14ac:dyDescent="0.3">
      <c r="A52" s="251">
        <v>346.01</v>
      </c>
      <c r="B52" s="160"/>
      <c r="C52" s="161" t="s">
        <v>130</v>
      </c>
      <c r="D52" s="162"/>
      <c r="E52" s="162"/>
      <c r="F52" s="162"/>
    </row>
    <row r="53" spans="1:7" ht="15.6" hidden="1" x14ac:dyDescent="0.3">
      <c r="A53" s="252">
        <v>346.03</v>
      </c>
      <c r="B53" s="163"/>
      <c r="C53" s="164" t="s">
        <v>109</v>
      </c>
      <c r="D53" s="165"/>
      <c r="E53" s="165"/>
      <c r="F53" s="165"/>
    </row>
    <row r="54" spans="1:7" ht="15.6" hidden="1" x14ac:dyDescent="0.3">
      <c r="A54" s="251">
        <v>346.04</v>
      </c>
      <c r="B54" s="160"/>
      <c r="C54" s="161" t="s">
        <v>111</v>
      </c>
      <c r="D54" s="162"/>
      <c r="E54" s="162"/>
      <c r="F54" s="162"/>
    </row>
    <row r="55" spans="1:7" ht="15.6" hidden="1" x14ac:dyDescent="0.3">
      <c r="A55" s="254">
        <v>347.01</v>
      </c>
      <c r="B55" s="193"/>
      <c r="C55" s="194" t="s">
        <v>78</v>
      </c>
      <c r="D55" s="195"/>
      <c r="E55" s="195"/>
      <c r="F55" s="195"/>
    </row>
    <row r="56" spans="1:7" ht="15.6" hidden="1" x14ac:dyDescent="0.3">
      <c r="A56" s="251">
        <v>347.02</v>
      </c>
      <c r="B56" s="160"/>
      <c r="C56" s="161" t="s">
        <v>102</v>
      </c>
      <c r="D56" s="162"/>
      <c r="E56" s="162"/>
      <c r="F56" s="162"/>
    </row>
    <row r="57" spans="1:7" ht="15.6" hidden="1" x14ac:dyDescent="0.3">
      <c r="A57" s="252">
        <v>347.04</v>
      </c>
      <c r="B57" s="163"/>
      <c r="C57" s="164" t="s">
        <v>110</v>
      </c>
      <c r="D57" s="165"/>
      <c r="E57" s="165"/>
      <c r="F57" s="165"/>
    </row>
    <row r="58" spans="1:7" ht="15.6" hidden="1" x14ac:dyDescent="0.3">
      <c r="A58" s="255" t="s">
        <v>107</v>
      </c>
      <c r="B58" s="160"/>
      <c r="C58" s="161" t="s">
        <v>108</v>
      </c>
      <c r="D58" s="162"/>
      <c r="E58" s="162"/>
      <c r="F58" s="162"/>
    </row>
    <row r="59" spans="1:7" ht="15.6" hidden="1" x14ac:dyDescent="0.3">
      <c r="A59" s="256" t="s">
        <v>105</v>
      </c>
      <c r="B59" s="157"/>
      <c r="C59" s="164" t="s">
        <v>103</v>
      </c>
      <c r="D59" s="159"/>
      <c r="E59" s="159"/>
      <c r="F59" s="159"/>
    </row>
    <row r="60" spans="1:7" ht="15.6" hidden="1" x14ac:dyDescent="0.3">
      <c r="A60" s="255" t="s">
        <v>106</v>
      </c>
      <c r="B60" s="160"/>
      <c r="C60" s="161" t="s">
        <v>104</v>
      </c>
      <c r="D60" s="162"/>
      <c r="E60" s="162"/>
      <c r="F60" s="162"/>
    </row>
    <row r="61" spans="1:7" ht="15.6" hidden="1" x14ac:dyDescent="0.3">
      <c r="A61" s="257"/>
      <c r="B61" s="184"/>
      <c r="C61" s="196" t="s">
        <v>123</v>
      </c>
      <c r="D61" s="212"/>
      <c r="E61" s="197"/>
      <c r="F61" s="198"/>
    </row>
    <row r="62" spans="1:7" hidden="1" x14ac:dyDescent="0.3">
      <c r="A62" s="183"/>
      <c r="B62" s="187"/>
      <c r="C62" s="188"/>
      <c r="D62" s="186"/>
      <c r="E62" s="186"/>
      <c r="F62" s="186"/>
      <c r="G62" t="s">
        <v>147</v>
      </c>
    </row>
    <row r="63" spans="1:7" hidden="1" x14ac:dyDescent="0.3">
      <c r="A63" s="183"/>
      <c r="B63" s="187"/>
      <c r="C63" s="188"/>
      <c r="D63" s="186"/>
      <c r="E63" s="186"/>
      <c r="F63" s="186"/>
    </row>
    <row r="64" spans="1:7" ht="17.399999999999999" hidden="1" x14ac:dyDescent="0.3">
      <c r="A64" s="183"/>
      <c r="B64" s="189"/>
      <c r="C64" s="190" t="s">
        <v>81</v>
      </c>
      <c r="D64" s="191">
        <f>SUM(D47:D63)</f>
        <v>0</v>
      </c>
      <c r="E64" s="191">
        <f t="shared" ref="E64:F64" si="0">SUM(E47:E63)</f>
        <v>0</v>
      </c>
      <c r="F64" s="191">
        <f t="shared" si="0"/>
        <v>0</v>
      </c>
    </row>
    <row r="65" spans="1:6" ht="18" thickBot="1" x14ac:dyDescent="0.35">
      <c r="A65" s="283" t="s">
        <v>138</v>
      </c>
      <c r="B65" s="199"/>
      <c r="C65" s="200" t="s">
        <v>400</v>
      </c>
      <c r="D65" s="271">
        <f>+'Revenu Data'!D73</f>
        <v>0</v>
      </c>
      <c r="E65" s="271">
        <f>+'Revenu Data'!E73</f>
        <v>0</v>
      </c>
      <c r="F65" s="271">
        <f>+'Revenu Data'!F73</f>
        <v>0</v>
      </c>
    </row>
    <row r="66" spans="1:6" ht="15.6" hidden="1" x14ac:dyDescent="0.3">
      <c r="A66" s="250" t="s">
        <v>98</v>
      </c>
      <c r="B66" s="157"/>
      <c r="C66" s="158" t="s">
        <v>113</v>
      </c>
      <c r="D66" s="159"/>
      <c r="E66" s="159"/>
      <c r="F66" s="159"/>
    </row>
    <row r="67" spans="1:6" ht="15.6" hidden="1" x14ac:dyDescent="0.3">
      <c r="A67" s="251">
        <v>334</v>
      </c>
      <c r="B67" s="160"/>
      <c r="C67" s="161" t="s">
        <v>99</v>
      </c>
      <c r="D67" s="162"/>
      <c r="E67" s="162"/>
      <c r="F67" s="162"/>
    </row>
    <row r="68" spans="1:6" ht="15.6" hidden="1" x14ac:dyDescent="0.3">
      <c r="A68" s="250">
        <v>335</v>
      </c>
      <c r="B68" s="157"/>
      <c r="C68" s="158" t="s">
        <v>79</v>
      </c>
      <c r="D68" s="159"/>
      <c r="E68" s="159"/>
      <c r="F68" s="159"/>
    </row>
    <row r="69" spans="1:6" ht="15.6" hidden="1" x14ac:dyDescent="0.3">
      <c r="A69" s="251" t="s">
        <v>101</v>
      </c>
      <c r="B69" s="160"/>
      <c r="C69" s="161" t="s">
        <v>100</v>
      </c>
      <c r="D69" s="162"/>
      <c r="E69" s="162"/>
      <c r="F69" s="162"/>
    </row>
    <row r="70" spans="1:6" ht="15.6" hidden="1" x14ac:dyDescent="0.3">
      <c r="A70" s="258"/>
      <c r="B70" s="157"/>
      <c r="C70" s="196" t="s">
        <v>124</v>
      </c>
      <c r="D70" s="159"/>
      <c r="E70" s="159"/>
      <c r="F70" s="159"/>
    </row>
    <row r="71" spans="1:6" hidden="1" x14ac:dyDescent="0.3">
      <c r="A71" s="183"/>
      <c r="B71" s="187"/>
      <c r="C71" s="188"/>
      <c r="D71" s="186"/>
      <c r="E71" s="186"/>
      <c r="F71" s="186"/>
    </row>
    <row r="72" spans="1:6" hidden="1" x14ac:dyDescent="0.3">
      <c r="A72" s="183"/>
      <c r="B72" s="187"/>
      <c r="C72" s="188"/>
      <c r="D72" s="201"/>
      <c r="E72" s="201"/>
      <c r="F72" s="201"/>
    </row>
    <row r="73" spans="1:6" ht="17.399999999999999" hidden="1" x14ac:dyDescent="0.3">
      <c r="A73" s="183"/>
      <c r="B73" s="292"/>
      <c r="C73" s="293" t="s">
        <v>82</v>
      </c>
      <c r="D73" s="294">
        <f>SUM(D66:D72)</f>
        <v>0</v>
      </c>
      <c r="E73" s="294">
        <f>SUM(E66:E72)</f>
        <v>0</v>
      </c>
      <c r="F73" s="294">
        <f>SUM(F66:F72)</f>
        <v>0</v>
      </c>
    </row>
    <row r="74" spans="1:6" ht="20.399999999999999" x14ac:dyDescent="0.35">
      <c r="A74" s="295"/>
      <c r="B74" s="296"/>
      <c r="C74" s="296" t="s">
        <v>421</v>
      </c>
      <c r="D74" s="297">
        <f>+D12+D15+D46+D65</f>
        <v>0</v>
      </c>
      <c r="E74" s="297">
        <f>+E12+E15+E46+E65</f>
        <v>0.01</v>
      </c>
      <c r="F74" s="297">
        <f>+F12+F15+F46+F65</f>
        <v>0</v>
      </c>
    </row>
    <row r="75" spans="1:6" ht="6" customHeight="1" x14ac:dyDescent="0.35">
      <c r="A75" s="284"/>
      <c r="B75" s="202"/>
      <c r="C75" s="202"/>
      <c r="D75" s="207"/>
      <c r="E75" s="207"/>
      <c r="F75" s="207"/>
    </row>
    <row r="76" spans="1:6" ht="15" hidden="1" customHeight="1" x14ac:dyDescent="0.35">
      <c r="A76" s="188"/>
      <c r="B76" s="203"/>
      <c r="C76" s="204" t="s">
        <v>161</v>
      </c>
      <c r="D76" s="205" t="e">
        <f>+#REF!</f>
        <v>#REF!</v>
      </c>
      <c r="E76" s="205" t="e">
        <f>+#REF!</f>
        <v>#REF!</v>
      </c>
      <c r="F76" s="285" t="e">
        <f>+#REF!</f>
        <v>#REF!</v>
      </c>
    </row>
    <row r="77" spans="1:6" ht="21" customHeight="1" x14ac:dyDescent="0.35">
      <c r="A77" s="287"/>
      <c r="B77" s="203"/>
      <c r="C77" s="288" t="s">
        <v>405</v>
      </c>
      <c r="D77" s="207"/>
      <c r="E77" s="207"/>
      <c r="F77" s="208"/>
    </row>
    <row r="78" spans="1:6" ht="15" customHeight="1" x14ac:dyDescent="0.35">
      <c r="A78" s="298">
        <v>1</v>
      </c>
      <c r="B78" s="290"/>
      <c r="C78" s="299" t="s">
        <v>454</v>
      </c>
      <c r="D78" s="271">
        <f>+'Expend Data'!D28</f>
        <v>0</v>
      </c>
      <c r="E78" s="271">
        <f>+'Expend Data'!E28</f>
        <v>0</v>
      </c>
      <c r="F78" s="271">
        <f>+'Expend Data'!F28</f>
        <v>0</v>
      </c>
    </row>
    <row r="79" spans="1:6" ht="15" customHeight="1" x14ac:dyDescent="0.35">
      <c r="A79" s="300">
        <v>2</v>
      </c>
      <c r="B79" s="301"/>
      <c r="C79" s="300" t="s">
        <v>455</v>
      </c>
      <c r="D79" s="302">
        <f>+'Expend Data'!D85</f>
        <v>0</v>
      </c>
      <c r="E79" s="302">
        <f>+'Expend Data'!E85</f>
        <v>0</v>
      </c>
      <c r="F79" s="302">
        <f>+'Expend Data'!F85</f>
        <v>0</v>
      </c>
    </row>
    <row r="80" spans="1:6" ht="15" customHeight="1" x14ac:dyDescent="0.35">
      <c r="A80" s="298">
        <v>3</v>
      </c>
      <c r="B80" s="289"/>
      <c r="C80" s="299" t="s">
        <v>456</v>
      </c>
      <c r="D80" s="271">
        <f>+'Expend Data'!D133</f>
        <v>0</v>
      </c>
      <c r="E80" s="271">
        <f>+'Expend Data'!E133</f>
        <v>0</v>
      </c>
      <c r="F80" s="271">
        <f>+'Expend Data'!F133</f>
        <v>0</v>
      </c>
    </row>
    <row r="81" spans="1:6" ht="15" customHeight="1" x14ac:dyDescent="0.35">
      <c r="A81" s="300">
        <v>4</v>
      </c>
      <c r="B81" s="301"/>
      <c r="C81" s="300" t="s">
        <v>457</v>
      </c>
      <c r="D81" s="302">
        <f>+'Expend Data'!D145</f>
        <v>0</v>
      </c>
      <c r="E81" s="302">
        <f>+'Expend Data'!E145</f>
        <v>0</v>
      </c>
      <c r="F81" s="302">
        <f>+'Expend Data'!F145</f>
        <v>0</v>
      </c>
    </row>
    <row r="82" spans="1:6" ht="15" customHeight="1" x14ac:dyDescent="0.35">
      <c r="A82" s="298">
        <v>5</v>
      </c>
      <c r="B82" s="289"/>
      <c r="C82" s="299" t="s">
        <v>458</v>
      </c>
      <c r="D82" s="271">
        <f>+'Expend Data'!D206</f>
        <v>0</v>
      </c>
      <c r="E82" s="271">
        <f>+'Expend Data'!E206</f>
        <v>0</v>
      </c>
      <c r="F82" s="271">
        <f>+'Expend Data'!F206</f>
        <v>0</v>
      </c>
    </row>
    <row r="83" spans="1:6" ht="15" customHeight="1" x14ac:dyDescent="0.35">
      <c r="A83" s="300">
        <v>6</v>
      </c>
      <c r="B83" s="301"/>
      <c r="C83" s="300" t="s">
        <v>459</v>
      </c>
      <c r="D83" s="302">
        <f>+'Expend Data'!D216</f>
        <v>0</v>
      </c>
      <c r="E83" s="302">
        <f>+'Expend Data'!E216</f>
        <v>0</v>
      </c>
      <c r="F83" s="302">
        <f>+'Expend Data'!F216</f>
        <v>0</v>
      </c>
    </row>
    <row r="84" spans="1:6" ht="15" customHeight="1" x14ac:dyDescent="0.35">
      <c r="A84" s="298">
        <v>7</v>
      </c>
      <c r="B84" s="289"/>
      <c r="C84" s="299" t="s">
        <v>460</v>
      </c>
      <c r="D84" s="291">
        <f>+'Expend Data'!D222</f>
        <v>0</v>
      </c>
      <c r="E84" s="291">
        <f>+'Expend Data'!E222</f>
        <v>0</v>
      </c>
      <c r="F84" s="291">
        <f>+'Expend Data'!F222</f>
        <v>0</v>
      </c>
    </row>
    <row r="85" spans="1:6" ht="15" customHeight="1" thickBot="1" x14ac:dyDescent="0.4">
      <c r="A85" s="303" t="s">
        <v>424</v>
      </c>
      <c r="B85" s="304"/>
      <c r="C85" s="305" t="s">
        <v>413</v>
      </c>
      <c r="D85" s="306">
        <f>+'Expend Data'!D224</f>
        <v>0</v>
      </c>
      <c r="E85" s="306">
        <f>+'Expend Data'!E224</f>
        <v>0</v>
      </c>
      <c r="F85" s="306">
        <f>+'Expend Data'!F224</f>
        <v>0</v>
      </c>
    </row>
    <row r="86" spans="1:6" ht="21" customHeight="1" x14ac:dyDescent="0.35">
      <c r="A86" s="295"/>
      <c r="B86" s="296"/>
      <c r="C86" s="296" t="s">
        <v>422</v>
      </c>
      <c r="D86" s="309">
        <f>SUM(D78:D85)</f>
        <v>0</v>
      </c>
      <c r="E86" s="309">
        <f>SUM(E78:E85)</f>
        <v>0</v>
      </c>
      <c r="F86" s="309">
        <f>SUM(F78:F85)</f>
        <v>0</v>
      </c>
    </row>
    <row r="87" spans="1:6" ht="15" hidden="1" customHeight="1" x14ac:dyDescent="0.35">
      <c r="A87" s="282"/>
      <c r="B87" s="203"/>
      <c r="C87" s="206"/>
      <c r="D87" s="218"/>
      <c r="E87" s="218"/>
      <c r="F87" s="259"/>
    </row>
    <row r="88" spans="1:6" ht="6" customHeight="1" x14ac:dyDescent="0.35">
      <c r="A88" s="188"/>
      <c r="B88" s="203"/>
      <c r="C88" s="206"/>
      <c r="D88" s="218"/>
      <c r="E88" s="218"/>
      <c r="F88" s="218"/>
    </row>
    <row r="89" spans="1:6" ht="21" customHeight="1" x14ac:dyDescent="0.35">
      <c r="A89" s="361" t="s">
        <v>452</v>
      </c>
      <c r="B89" s="203"/>
      <c r="C89" s="268" t="s">
        <v>162</v>
      </c>
      <c r="D89" s="269">
        <f>+D74-D86</f>
        <v>0</v>
      </c>
      <c r="E89" s="269">
        <f>+E74-E86</f>
        <v>0.01</v>
      </c>
      <c r="F89" s="269">
        <f>+F74-F86</f>
        <v>0</v>
      </c>
    </row>
    <row r="90" spans="1:6" ht="15" customHeight="1" x14ac:dyDescent="0.3">
      <c r="A90" s="260"/>
      <c r="B90" s="261"/>
      <c r="C90" s="261"/>
      <c r="D90" s="261"/>
      <c r="E90" s="261"/>
      <c r="F90" s="262"/>
    </row>
    <row r="91" spans="1:6" ht="15" customHeight="1" x14ac:dyDescent="0.3">
      <c r="A91" s="381" t="s">
        <v>434</v>
      </c>
      <c r="B91" s="239"/>
      <c r="C91" s="204" t="s">
        <v>425</v>
      </c>
      <c r="D91" s="362">
        <f>+'Revenu Data'!D81</f>
        <v>0</v>
      </c>
      <c r="E91" s="362">
        <f>+'Revenu Data'!E81</f>
        <v>0</v>
      </c>
      <c r="F91" s="362">
        <f>+'Revenu Data'!F81</f>
        <v>0</v>
      </c>
    </row>
    <row r="92" spans="1:6" ht="15" customHeight="1" x14ac:dyDescent="0.3">
      <c r="A92" s="382"/>
      <c r="B92" s="239"/>
      <c r="C92" s="307" t="s">
        <v>426</v>
      </c>
      <c r="D92" s="363">
        <f>+'Revenu Data'!D82</f>
        <v>0</v>
      </c>
      <c r="E92" s="363">
        <f>+'Revenu Data'!E82</f>
        <v>0</v>
      </c>
      <c r="F92" s="363">
        <f>+'Revenu Data'!F82</f>
        <v>0</v>
      </c>
    </row>
    <row r="93" spans="1:6" ht="86.25" customHeight="1" x14ac:dyDescent="0.3">
      <c r="A93" s="382"/>
      <c r="B93" s="239"/>
      <c r="C93" s="236" t="s">
        <v>428</v>
      </c>
      <c r="D93" s="362">
        <f>+'Revenu Data'!D83</f>
        <v>0</v>
      </c>
      <c r="E93" s="362">
        <f>+'Revenu Data'!E83</f>
        <v>0</v>
      </c>
      <c r="F93" s="362">
        <f>+'Revenu Data'!F83</f>
        <v>0</v>
      </c>
    </row>
    <row r="94" spans="1:6" ht="21" customHeight="1" x14ac:dyDescent="0.35">
      <c r="A94" s="383"/>
      <c r="B94" s="212"/>
      <c r="C94" s="238" t="s">
        <v>433</v>
      </c>
      <c r="D94" s="237">
        <f>SUM(D91:D93)</f>
        <v>0</v>
      </c>
      <c r="E94" s="237">
        <f t="shared" ref="E94:F94" si="1">SUM(E91:E93)</f>
        <v>0</v>
      </c>
      <c r="F94" s="237">
        <f t="shared" si="1"/>
        <v>0</v>
      </c>
    </row>
    <row r="95" spans="1:6" ht="15" customHeight="1" x14ac:dyDescent="0.3">
      <c r="A95" s="263"/>
      <c r="B95" s="264"/>
      <c r="C95" s="264"/>
      <c r="D95" s="264"/>
      <c r="E95" s="264"/>
      <c r="F95" s="265"/>
    </row>
    <row r="96" spans="1:6" ht="15" customHeight="1" x14ac:dyDescent="0.3">
      <c r="A96" s="209" t="s">
        <v>408</v>
      </c>
      <c r="B96" s="210"/>
      <c r="C96" s="210"/>
      <c r="D96" s="210"/>
      <c r="E96" s="210"/>
      <c r="F96" s="211"/>
    </row>
    <row r="97" spans="1:8" ht="6" customHeight="1" x14ac:dyDescent="0.3">
      <c r="A97" s="192"/>
      <c r="B97" s="212"/>
      <c r="C97" s="212"/>
      <c r="D97" s="212"/>
      <c r="E97" s="212"/>
      <c r="F97" s="213"/>
    </row>
    <row r="98" spans="1:8" x14ac:dyDescent="0.3">
      <c r="A98" s="214">
        <f>+'Revenu Data'!E52</f>
        <v>0.01</v>
      </c>
      <c r="B98" s="212"/>
      <c r="C98" s="215" t="s">
        <v>466</v>
      </c>
      <c r="D98" s="212"/>
      <c r="E98" s="212"/>
      <c r="F98" s="213"/>
    </row>
    <row r="99" spans="1:8" ht="6" customHeight="1" x14ac:dyDescent="0.3">
      <c r="A99" s="216"/>
      <c r="B99" s="212"/>
      <c r="C99" s="212"/>
      <c r="D99" s="212"/>
      <c r="E99" s="212"/>
      <c r="F99" s="213"/>
    </row>
    <row r="100" spans="1:8" x14ac:dyDescent="0.3">
      <c r="A100" s="364">
        <f>0.25*D101</f>
        <v>0</v>
      </c>
      <c r="B100" s="212"/>
      <c r="C100" s="215" t="s">
        <v>465</v>
      </c>
      <c r="D100" s="212"/>
      <c r="E100" s="212"/>
      <c r="F100" s="370"/>
      <c r="H100" s="141"/>
    </row>
    <row r="101" spans="1:8" x14ac:dyDescent="0.3">
      <c r="A101" s="371"/>
      <c r="B101" s="212"/>
      <c r="C101" s="212"/>
      <c r="D101" s="365">
        <v>0</v>
      </c>
      <c r="E101" s="366"/>
      <c r="F101" s="367"/>
      <c r="H101" s="141"/>
    </row>
    <row r="102" spans="1:8" x14ac:dyDescent="0.3">
      <c r="A102" s="371"/>
      <c r="B102" s="212"/>
      <c r="C102" s="212"/>
      <c r="D102" s="366"/>
      <c r="E102" s="366"/>
      <c r="F102" s="367"/>
    </row>
    <row r="103" spans="1:8" ht="6" customHeight="1" x14ac:dyDescent="0.3">
      <c r="A103" s="216"/>
      <c r="B103" s="212"/>
      <c r="C103" s="212"/>
      <c r="D103" s="215"/>
      <c r="E103" s="366"/>
      <c r="F103" s="367"/>
    </row>
    <row r="104" spans="1:8" x14ac:dyDescent="0.3">
      <c r="A104" s="214">
        <f>+A98*A100</f>
        <v>0</v>
      </c>
      <c r="B104" s="212"/>
      <c r="C104" s="215" t="s">
        <v>467</v>
      </c>
      <c r="D104" s="212"/>
      <c r="E104" s="368"/>
      <c r="F104" s="367"/>
    </row>
    <row r="105" spans="1:8" ht="6" customHeight="1" x14ac:dyDescent="0.3">
      <c r="A105" s="217"/>
      <c r="B105" s="212"/>
      <c r="C105" s="215"/>
      <c r="D105" s="212"/>
      <c r="E105" s="366"/>
      <c r="F105" s="367"/>
    </row>
    <row r="106" spans="1:8" x14ac:dyDescent="0.3">
      <c r="A106" s="214">
        <v>0</v>
      </c>
      <c r="B106" s="212"/>
      <c r="C106" s="215" t="s">
        <v>468</v>
      </c>
      <c r="D106" s="212"/>
      <c r="E106" s="369" t="e">
        <f>+E86-#REF!</f>
        <v>#REF!</v>
      </c>
      <c r="F106" s="367"/>
    </row>
    <row r="107" spans="1:8" x14ac:dyDescent="0.3">
      <c r="A107" s="217"/>
      <c r="B107" s="212"/>
      <c r="C107" s="219" t="s">
        <v>407</v>
      </c>
      <c r="D107" s="212"/>
      <c r="E107" s="212"/>
      <c r="F107" s="367"/>
    </row>
    <row r="108" spans="1:8" ht="6" customHeight="1" x14ac:dyDescent="0.3">
      <c r="A108" s="217"/>
      <c r="B108" s="212"/>
      <c r="C108" s="215"/>
      <c r="D108" s="212"/>
      <c r="E108" s="212"/>
      <c r="F108" s="213"/>
    </row>
    <row r="109" spans="1:8" x14ac:dyDescent="0.3">
      <c r="A109" s="364">
        <f>+A106/A98</f>
        <v>0</v>
      </c>
      <c r="B109" s="212"/>
      <c r="C109" s="215" t="s">
        <v>469</v>
      </c>
      <c r="D109" s="212"/>
      <c r="E109" s="212"/>
      <c r="F109" s="213"/>
    </row>
    <row r="110" spans="1:8" ht="6" customHeight="1" x14ac:dyDescent="0.3">
      <c r="A110" s="220"/>
      <c r="B110" s="221"/>
      <c r="C110" s="222"/>
      <c r="D110" s="221"/>
      <c r="E110" s="221"/>
      <c r="F110" s="223"/>
    </row>
    <row r="111" spans="1:8" x14ac:dyDescent="0.3">
      <c r="A111" s="372"/>
      <c r="B111" s="366"/>
      <c r="C111" s="366"/>
      <c r="D111" s="366"/>
      <c r="E111" s="366"/>
      <c r="F111" s="367"/>
    </row>
    <row r="112" spans="1:8" x14ac:dyDescent="0.3">
      <c r="A112" s="266"/>
      <c r="B112" s="221"/>
      <c r="C112" s="221"/>
      <c r="D112" s="221"/>
      <c r="E112" s="267" t="s">
        <v>409</v>
      </c>
      <c r="F112" s="224"/>
    </row>
    <row r="113" spans="1:6" x14ac:dyDescent="0.3">
      <c r="A113" s="148"/>
      <c r="B113" s="148"/>
      <c r="C113" s="148"/>
      <c r="D113" s="148"/>
      <c r="E113" s="149"/>
      <c r="F113" s="225"/>
    </row>
    <row r="114" spans="1:6" hidden="1" x14ac:dyDescent="0.3">
      <c r="A114" s="378"/>
      <c r="B114" s="378"/>
      <c r="C114" s="378"/>
      <c r="D114" s="378"/>
      <c r="E114" s="378"/>
      <c r="F114" s="378"/>
    </row>
    <row r="115" spans="1:6" ht="27" hidden="1" customHeight="1" x14ac:dyDescent="0.3">
      <c r="A115" s="377" t="s">
        <v>420</v>
      </c>
      <c r="B115" s="377"/>
      <c r="C115" s="377"/>
      <c r="D115" s="376" t="s">
        <v>419</v>
      </c>
      <c r="E115" s="376"/>
      <c r="F115" s="376"/>
    </row>
    <row r="116" spans="1:6" hidden="1" x14ac:dyDescent="0.3">
      <c r="A116" s="148"/>
      <c r="B116" s="148"/>
      <c r="C116" s="148"/>
      <c r="D116" s="148"/>
      <c r="E116" s="149"/>
      <c r="F116" s="225"/>
    </row>
    <row r="117" spans="1:6" hidden="1" x14ac:dyDescent="0.3">
      <c r="A117" s="148"/>
      <c r="B117" s="148"/>
      <c r="C117" s="148"/>
      <c r="D117" s="148"/>
      <c r="E117" s="149"/>
      <c r="F117" s="212"/>
    </row>
    <row r="118" spans="1:6" hidden="1" x14ac:dyDescent="0.3">
      <c r="A118" s="378"/>
      <c r="B118" s="378"/>
      <c r="C118" s="378"/>
      <c r="D118" s="378"/>
      <c r="E118" s="378"/>
      <c r="F118" s="378"/>
    </row>
    <row r="119" spans="1:6" ht="27" hidden="1" customHeight="1" x14ac:dyDescent="0.3">
      <c r="A119" s="377" t="s">
        <v>411</v>
      </c>
      <c r="B119" s="377"/>
      <c r="C119" s="377"/>
      <c r="D119" s="376" t="s">
        <v>410</v>
      </c>
      <c r="E119" s="376"/>
      <c r="F119" s="376"/>
    </row>
    <row r="120" spans="1:6" x14ac:dyDescent="0.3">
      <c r="A120" s="148"/>
      <c r="B120" s="148"/>
      <c r="C120" s="148"/>
      <c r="D120" s="148"/>
      <c r="E120" s="148"/>
      <c r="F120" s="148"/>
    </row>
  </sheetData>
  <sheetProtection algorithmName="SHA-512" hashValue="NqUncDD49MXasUks9g2XJOMQsCMpuxx9lflFKSZwXyBtPsfVJOcjgFwbNPv0zB8DtNCE+nLFVWFDjMlEMI39wQ==" saltValue="YDm5FfrfcSoq1WWG/GyllA==" spinCount="100000" sheet="1" objects="1" scenarios="1"/>
  <mergeCells count="15">
    <mergeCell ref="B8:C8"/>
    <mergeCell ref="B10:C10"/>
    <mergeCell ref="D119:F119"/>
    <mergeCell ref="A119:C119"/>
    <mergeCell ref="A118:C118"/>
    <mergeCell ref="D118:F118"/>
    <mergeCell ref="C24:F24"/>
    <mergeCell ref="C32:F32"/>
    <mergeCell ref="A114:C114"/>
    <mergeCell ref="D114:F114"/>
    <mergeCell ref="A115:C115"/>
    <mergeCell ref="D115:F115"/>
    <mergeCell ref="A91:A94"/>
    <mergeCell ref="A13:C13"/>
    <mergeCell ref="A14:C14"/>
  </mergeCells>
  <hyperlinks>
    <hyperlink ref="D5" r:id="rId1"/>
  </hyperlinks>
  <printOptions horizontalCentered="1"/>
  <pageMargins left="0.7" right="0.7" top="0.75" bottom="0.75" header="0.3" footer="0.3"/>
  <pageSetup scale="76" orientation="portrait" horizontalDpi="4294967293" verticalDpi="4294967293" r:id="rId2"/>
  <headerFooter>
    <oddHeader>&amp;CBoard of Public Roads Classifications and Standards 
ROADS &amp; STREETS FINANCIAL REPORT - BUDGET, REVENUE AND EXPENDITURES&amp;RSheet &amp;P of &amp;N</oddHeader>
    <oddFooter>&amp;L2017 NBCS Interim Form (Non-mandatory)&amp;RJuly 22, 2017 version</oddFooter>
  </headerFooter>
  <ignoredErrors>
    <ignoredError sqref="A109" evalError="1"/>
    <ignoredError sqref="A104" unlockedFormula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9" r:id="rId5" name="Option Button 7">
              <controlPr locked="0" defaultSize="0" autoFill="0" autoLine="0" autoPict="0">
                <anchor moveWithCells="1">
                  <from>
                    <xdr:col>2</xdr:col>
                    <xdr:colOff>7620</xdr:colOff>
                    <xdr:row>100</xdr:row>
                    <xdr:rowOff>7620</xdr:rowOff>
                  </from>
                  <to>
                    <xdr:col>3</xdr:col>
                    <xdr:colOff>7620</xdr:colOff>
                    <xdr:row>101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6" name="Option Button 8">
              <controlPr locked="0" defaultSize="0" autoFill="0" autoLine="0" autoPict="0" altText="City of the Primary or Metropolitan Class">
                <anchor moveWithCells="1">
                  <from>
                    <xdr:col>2</xdr:col>
                    <xdr:colOff>7620</xdr:colOff>
                    <xdr:row>101</xdr:row>
                    <xdr:rowOff>22860</xdr:rowOff>
                  </from>
                  <to>
                    <xdr:col>3</xdr:col>
                    <xdr:colOff>7620</xdr:colOff>
                    <xdr:row>102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50"/>
  <sheetViews>
    <sheetView topLeftCell="A34" workbookViewId="0">
      <selection activeCell="A2" sqref="A2:F2"/>
    </sheetView>
  </sheetViews>
  <sheetFormatPr defaultRowHeight="14.4" x14ac:dyDescent="0.3"/>
  <cols>
    <col min="1" max="1" width="17.109375" customWidth="1"/>
    <col min="2" max="2" width="0" hidden="1" customWidth="1"/>
    <col min="3" max="3" width="44" customWidth="1"/>
    <col min="4" max="6" width="20.77734375" customWidth="1"/>
    <col min="7" max="7" width="1.77734375" customWidth="1"/>
    <col min="8" max="8" width="12.21875" customWidth="1"/>
    <col min="9" max="9" width="7.77734375" customWidth="1"/>
    <col min="10" max="10" width="8.88671875" customWidth="1"/>
    <col min="11" max="11" width="7.44140625" customWidth="1"/>
    <col min="12" max="12" width="1.77734375" customWidth="1"/>
    <col min="13" max="13" width="12.21875" customWidth="1"/>
    <col min="14" max="14" width="7.77734375" customWidth="1"/>
    <col min="15" max="15" width="8.88671875" customWidth="1"/>
    <col min="16" max="16" width="7.44140625" customWidth="1"/>
    <col min="17" max="26" width="9.109375" style="334"/>
  </cols>
  <sheetData>
    <row r="1" spans="1:16" ht="6" customHeight="1" x14ac:dyDescent="0.3"/>
    <row r="2" spans="1:16" ht="15.6" x14ac:dyDescent="0.3">
      <c r="A2" s="397" t="s">
        <v>132</v>
      </c>
      <c r="B2" s="397"/>
      <c r="C2" s="397"/>
      <c r="D2" s="397"/>
      <c r="E2" s="397"/>
      <c r="F2" s="397"/>
      <c r="H2" s="334"/>
      <c r="I2" s="334"/>
      <c r="J2" s="334"/>
      <c r="K2" s="334"/>
      <c r="L2" s="334"/>
      <c r="M2" s="334"/>
      <c r="N2" s="334"/>
      <c r="O2" s="334"/>
      <c r="P2" s="334"/>
    </row>
    <row r="3" spans="1:16" ht="12.9" customHeight="1" x14ac:dyDescent="0.3">
      <c r="A3" s="391" t="s">
        <v>133</v>
      </c>
      <c r="B3" s="391"/>
      <c r="C3" s="391"/>
      <c r="D3" s="391"/>
      <c r="E3" s="391"/>
      <c r="F3" s="391"/>
      <c r="H3" s="334"/>
      <c r="I3" s="334"/>
      <c r="J3" s="334"/>
      <c r="K3" s="334"/>
      <c r="L3" s="334"/>
      <c r="M3" s="334"/>
      <c r="N3" s="334"/>
      <c r="O3" s="334"/>
      <c r="P3" s="334"/>
    </row>
    <row r="4" spans="1:16" ht="15.6" x14ac:dyDescent="0.3">
      <c r="A4" s="397" t="s">
        <v>134</v>
      </c>
      <c r="B4" s="397"/>
      <c r="C4" s="397"/>
      <c r="D4" s="397"/>
      <c r="E4" s="397"/>
      <c r="F4" s="397"/>
      <c r="H4" s="334"/>
      <c r="I4" s="334"/>
      <c r="J4" s="334"/>
      <c r="K4" s="334"/>
      <c r="L4" s="334"/>
      <c r="M4" s="334"/>
      <c r="N4" s="334"/>
      <c r="O4" s="334"/>
      <c r="P4" s="334"/>
    </row>
    <row r="5" spans="1:16" ht="6" customHeight="1" x14ac:dyDescent="0.3">
      <c r="A5" s="310"/>
      <c r="B5" s="310"/>
      <c r="C5" s="310"/>
      <c r="D5" s="310"/>
      <c r="E5" s="310"/>
      <c r="F5" s="310"/>
    </row>
    <row r="6" spans="1:16" x14ac:dyDescent="0.3">
      <c r="A6" s="1"/>
      <c r="C6" s="1" t="s">
        <v>135</v>
      </c>
      <c r="D6" s="24" t="s">
        <v>112</v>
      </c>
      <c r="H6" s="390" t="s">
        <v>85</v>
      </c>
      <c r="I6" s="390"/>
      <c r="J6" s="390"/>
      <c r="K6" s="390"/>
      <c r="L6" s="272"/>
      <c r="M6" s="390" t="s">
        <v>85</v>
      </c>
      <c r="N6" s="390"/>
      <c r="O6" s="390"/>
      <c r="P6" s="390"/>
    </row>
    <row r="7" spans="1:16" ht="15" customHeight="1" x14ac:dyDescent="0.3">
      <c r="A7" s="1"/>
      <c r="C7" s="24"/>
      <c r="H7" s="392" t="s">
        <v>444</v>
      </c>
      <c r="I7" s="392"/>
      <c r="J7" s="392"/>
      <c r="K7" s="392"/>
      <c r="M7" s="391" t="s">
        <v>445</v>
      </c>
      <c r="N7" s="391"/>
      <c r="O7" s="391"/>
      <c r="P7" s="391"/>
    </row>
    <row r="8" spans="1:16" ht="43.2" x14ac:dyDescent="0.3">
      <c r="A8" s="5" t="s">
        <v>26</v>
      </c>
      <c r="B8" s="398">
        <f>+'NBCS Financial Report'!B8:C8</f>
        <v>0</v>
      </c>
      <c r="C8" s="399"/>
      <c r="D8" s="311" t="s">
        <v>25</v>
      </c>
      <c r="E8" s="234">
        <f>+'NBCS Financial Report'!E8</f>
        <v>0</v>
      </c>
      <c r="F8" s="6"/>
      <c r="H8" s="272" t="s">
        <v>265</v>
      </c>
      <c r="I8" s="30" t="s">
        <v>87</v>
      </c>
      <c r="J8" s="30" t="s">
        <v>88</v>
      </c>
      <c r="K8" s="30" t="s">
        <v>86</v>
      </c>
      <c r="L8" s="30"/>
      <c r="M8" s="272" t="s">
        <v>265</v>
      </c>
      <c r="N8" s="30" t="s">
        <v>87</v>
      </c>
      <c r="O8" s="30" t="s">
        <v>88</v>
      </c>
      <c r="P8" s="30" t="s">
        <v>86</v>
      </c>
    </row>
    <row r="9" spans="1:16" ht="21" customHeight="1" x14ac:dyDescent="0.3">
      <c r="A9" s="43"/>
      <c r="B9" s="311"/>
      <c r="C9" s="311" t="s">
        <v>136</v>
      </c>
      <c r="D9" s="42"/>
      <c r="E9" s="42"/>
      <c r="F9" s="25"/>
      <c r="H9" s="333"/>
      <c r="I9" s="333"/>
      <c r="J9" s="333"/>
      <c r="K9" s="333"/>
      <c r="L9" s="333"/>
      <c r="M9" s="334"/>
      <c r="N9" s="334"/>
      <c r="O9" s="334"/>
      <c r="P9" s="334"/>
    </row>
    <row r="10" spans="1:16" ht="28.8" x14ac:dyDescent="0.3">
      <c r="A10" s="5" t="s">
        <v>0</v>
      </c>
      <c r="B10" s="400" t="s">
        <v>1</v>
      </c>
      <c r="C10" s="400"/>
      <c r="D10" s="9" t="s">
        <v>429</v>
      </c>
      <c r="E10" s="9" t="s">
        <v>430</v>
      </c>
      <c r="F10" s="9" t="s">
        <v>431</v>
      </c>
      <c r="H10" s="333"/>
      <c r="I10" s="333"/>
      <c r="J10" s="333"/>
      <c r="K10" s="333"/>
      <c r="L10" s="333"/>
      <c r="M10" s="360"/>
      <c r="N10" s="360"/>
      <c r="O10" s="360"/>
      <c r="P10" s="360"/>
    </row>
    <row r="11" spans="1:16" ht="18" x14ac:dyDescent="0.35">
      <c r="A11" s="44"/>
      <c r="B11" s="99"/>
      <c r="C11" s="100" t="s">
        <v>137</v>
      </c>
      <c r="D11" s="45"/>
      <c r="E11" s="45"/>
      <c r="F11" s="46"/>
      <c r="H11" s="333"/>
      <c r="I11" s="333"/>
      <c r="J11" s="333"/>
      <c r="K11" s="333"/>
      <c r="L11" s="333"/>
      <c r="M11" s="334"/>
      <c r="N11" s="334"/>
      <c r="O11" s="334"/>
      <c r="P11" s="334"/>
    </row>
    <row r="12" spans="1:16" ht="15.6" x14ac:dyDescent="0.3">
      <c r="A12" s="21" t="s">
        <v>95</v>
      </c>
      <c r="B12" s="21"/>
      <c r="C12" s="18" t="s">
        <v>70</v>
      </c>
      <c r="D12" s="136"/>
      <c r="E12" s="136"/>
      <c r="F12" s="136"/>
      <c r="H12" s="104">
        <v>32</v>
      </c>
      <c r="I12" s="104">
        <v>4</v>
      </c>
      <c r="J12" s="104" t="s">
        <v>441</v>
      </c>
      <c r="K12" s="104">
        <v>1</v>
      </c>
      <c r="L12" s="104"/>
      <c r="M12" s="104">
        <v>44</v>
      </c>
      <c r="N12" s="104">
        <v>4</v>
      </c>
      <c r="O12" s="104" t="s">
        <v>89</v>
      </c>
      <c r="P12" s="104">
        <v>1</v>
      </c>
    </row>
    <row r="13" spans="1:16" ht="15.6" x14ac:dyDescent="0.3">
      <c r="A13" s="22">
        <v>310</v>
      </c>
      <c r="B13" s="22"/>
      <c r="C13" s="19" t="s">
        <v>71</v>
      </c>
      <c r="D13" s="137"/>
      <c r="E13" s="137"/>
      <c r="F13" s="137"/>
      <c r="H13" s="276">
        <v>32</v>
      </c>
      <c r="I13" s="276">
        <v>4</v>
      </c>
      <c r="J13" s="276" t="s">
        <v>441</v>
      </c>
      <c r="K13" s="276">
        <v>1</v>
      </c>
      <c r="L13" s="276"/>
      <c r="M13" s="276">
        <v>44</v>
      </c>
      <c r="N13" s="276">
        <v>4</v>
      </c>
      <c r="O13" s="276" t="s">
        <v>89</v>
      </c>
      <c r="P13" s="276">
        <v>1</v>
      </c>
    </row>
    <row r="14" spans="1:16" ht="15.6" x14ac:dyDescent="0.3">
      <c r="A14" s="21" t="s">
        <v>96</v>
      </c>
      <c r="B14" s="21"/>
      <c r="C14" s="18" t="s">
        <v>72</v>
      </c>
      <c r="D14" s="136"/>
      <c r="E14" s="136"/>
      <c r="F14" s="136"/>
      <c r="H14" s="104">
        <v>32</v>
      </c>
      <c r="I14" s="104">
        <v>4</v>
      </c>
      <c r="J14" s="104" t="s">
        <v>441</v>
      </c>
      <c r="K14" s="104">
        <v>1</v>
      </c>
      <c r="L14" s="104"/>
      <c r="M14" s="104">
        <v>44</v>
      </c>
      <c r="N14" s="104">
        <v>4</v>
      </c>
      <c r="O14" s="104" t="s">
        <v>89</v>
      </c>
      <c r="P14" s="104">
        <v>1</v>
      </c>
    </row>
    <row r="15" spans="1:16" ht="15.6" x14ac:dyDescent="0.3">
      <c r="A15" s="22" t="s">
        <v>120</v>
      </c>
      <c r="B15" s="22"/>
      <c r="C15" s="19" t="s">
        <v>121</v>
      </c>
      <c r="D15" s="137"/>
      <c r="E15" s="137"/>
      <c r="F15" s="137"/>
      <c r="H15" s="276">
        <v>32</v>
      </c>
      <c r="I15" s="276">
        <v>4</v>
      </c>
      <c r="J15" s="276" t="s">
        <v>441</v>
      </c>
      <c r="K15" s="276">
        <v>1</v>
      </c>
      <c r="L15" s="276"/>
      <c r="M15" s="276">
        <v>44</v>
      </c>
      <c r="N15" s="276">
        <v>4</v>
      </c>
      <c r="O15" s="276" t="s">
        <v>89</v>
      </c>
      <c r="P15" s="276">
        <v>1</v>
      </c>
    </row>
    <row r="16" spans="1:16" ht="15.6" x14ac:dyDescent="0.3">
      <c r="A16" s="23">
        <v>316.01</v>
      </c>
      <c r="B16" s="23"/>
      <c r="C16" s="20" t="s">
        <v>73</v>
      </c>
      <c r="D16" s="138"/>
      <c r="E16" s="138"/>
      <c r="F16" s="138"/>
      <c r="H16" s="104">
        <v>32</v>
      </c>
      <c r="I16" s="104">
        <v>4</v>
      </c>
      <c r="J16" s="104" t="s">
        <v>441</v>
      </c>
      <c r="K16" s="104">
        <v>1</v>
      </c>
      <c r="L16" s="104"/>
      <c r="M16" s="104">
        <v>44</v>
      </c>
      <c r="N16" s="104">
        <v>4</v>
      </c>
      <c r="O16" s="104" t="s">
        <v>89</v>
      </c>
      <c r="P16" s="104">
        <v>1</v>
      </c>
    </row>
    <row r="17" spans="1:16" ht="15.6" x14ac:dyDescent="0.3">
      <c r="A17" s="22">
        <v>317</v>
      </c>
      <c r="B17" s="22"/>
      <c r="C17" s="19" t="s">
        <v>157</v>
      </c>
      <c r="D17" s="137"/>
      <c r="E17" s="137"/>
      <c r="F17" s="137"/>
      <c r="H17" s="276">
        <v>32</v>
      </c>
      <c r="I17" s="276">
        <v>4</v>
      </c>
      <c r="J17" s="276" t="s">
        <v>441</v>
      </c>
      <c r="K17" s="276">
        <v>1</v>
      </c>
      <c r="L17" s="276"/>
      <c r="M17" s="276">
        <v>44</v>
      </c>
      <c r="N17" s="276">
        <v>4</v>
      </c>
      <c r="O17" s="276" t="s">
        <v>89</v>
      </c>
      <c r="P17" s="276">
        <v>1</v>
      </c>
    </row>
    <row r="18" spans="1:16" ht="15.6" x14ac:dyDescent="0.3">
      <c r="A18" s="23">
        <v>318</v>
      </c>
      <c r="B18" s="23"/>
      <c r="C18" s="20" t="s">
        <v>74</v>
      </c>
      <c r="D18" s="138"/>
      <c r="E18" s="138"/>
      <c r="F18" s="138"/>
      <c r="H18" s="104">
        <v>33</v>
      </c>
      <c r="I18" s="104">
        <v>4</v>
      </c>
      <c r="J18" s="104" t="s">
        <v>441</v>
      </c>
      <c r="K18" s="104">
        <v>2</v>
      </c>
      <c r="L18" s="104"/>
      <c r="M18" s="104">
        <v>44</v>
      </c>
      <c r="N18" s="104">
        <v>4</v>
      </c>
      <c r="O18" s="104" t="s">
        <v>89</v>
      </c>
      <c r="P18" s="104">
        <v>1</v>
      </c>
    </row>
    <row r="19" spans="1:16" ht="15.6" x14ac:dyDescent="0.3">
      <c r="A19" s="22" t="s">
        <v>97</v>
      </c>
      <c r="B19" s="22"/>
      <c r="C19" s="19" t="s">
        <v>116</v>
      </c>
      <c r="D19" s="137"/>
      <c r="E19" s="137"/>
      <c r="F19" s="137"/>
      <c r="H19" s="276">
        <v>33</v>
      </c>
      <c r="I19" s="276">
        <v>4</v>
      </c>
      <c r="J19" s="276" t="s">
        <v>441</v>
      </c>
      <c r="K19" s="276">
        <v>2</v>
      </c>
      <c r="L19" s="276"/>
      <c r="M19" s="276">
        <v>45</v>
      </c>
      <c r="N19" s="276">
        <v>4</v>
      </c>
      <c r="O19" s="276" t="s">
        <v>89</v>
      </c>
      <c r="P19" s="87" t="s">
        <v>443</v>
      </c>
    </row>
    <row r="20" spans="1:16" ht="15.6" x14ac:dyDescent="0.3">
      <c r="A20" s="34" t="s">
        <v>442</v>
      </c>
      <c r="B20" s="35"/>
      <c r="C20" s="395" t="s">
        <v>145</v>
      </c>
      <c r="D20" s="395"/>
      <c r="E20" s="395"/>
      <c r="F20" s="396"/>
      <c r="H20" s="104"/>
      <c r="I20" s="104"/>
      <c r="J20" s="104"/>
      <c r="K20" s="104"/>
      <c r="L20" s="104"/>
    </row>
    <row r="21" spans="1:16" ht="15.6" x14ac:dyDescent="0.3">
      <c r="A21" s="52" t="s">
        <v>154</v>
      </c>
      <c r="B21" s="23"/>
      <c r="C21" s="54" t="s">
        <v>153</v>
      </c>
      <c r="D21" s="136"/>
      <c r="E21" s="136"/>
      <c r="F21" s="136"/>
      <c r="H21" s="104">
        <v>41</v>
      </c>
      <c r="I21" s="104">
        <v>4</v>
      </c>
      <c r="J21" s="104" t="s">
        <v>441</v>
      </c>
      <c r="K21" s="104">
        <v>10</v>
      </c>
      <c r="L21" s="104"/>
      <c r="M21" s="104">
        <v>55</v>
      </c>
      <c r="N21" s="104">
        <v>4</v>
      </c>
      <c r="O21" s="104" t="s">
        <v>89</v>
      </c>
      <c r="P21" s="104">
        <v>12</v>
      </c>
    </row>
    <row r="22" spans="1:16" ht="15.6" x14ac:dyDescent="0.3">
      <c r="A22" s="50">
        <v>510</v>
      </c>
      <c r="B22" s="21"/>
      <c r="C22" s="19" t="s">
        <v>75</v>
      </c>
      <c r="D22" s="137"/>
      <c r="E22" s="137"/>
      <c r="F22" s="137"/>
      <c r="H22" s="276">
        <v>42</v>
      </c>
      <c r="I22" s="276">
        <v>4</v>
      </c>
      <c r="J22" s="276" t="s">
        <v>441</v>
      </c>
      <c r="K22" s="276">
        <v>11</v>
      </c>
      <c r="L22" s="276"/>
      <c r="M22" s="276">
        <v>56</v>
      </c>
      <c r="N22" s="276">
        <v>4</v>
      </c>
      <c r="O22" s="276" t="s">
        <v>89</v>
      </c>
      <c r="P22" s="276">
        <v>13</v>
      </c>
    </row>
    <row r="23" spans="1:16" ht="15.6" x14ac:dyDescent="0.3">
      <c r="A23" s="36">
        <v>520.01</v>
      </c>
      <c r="B23" s="21"/>
      <c r="C23" s="20" t="s">
        <v>115</v>
      </c>
      <c r="D23" s="136"/>
      <c r="E23" s="136"/>
      <c r="F23" s="136"/>
      <c r="H23" s="104">
        <v>42</v>
      </c>
      <c r="I23" s="104">
        <v>4</v>
      </c>
      <c r="J23" s="104" t="s">
        <v>441</v>
      </c>
      <c r="K23" s="104">
        <v>11</v>
      </c>
      <c r="L23" s="104"/>
      <c r="M23" s="104">
        <v>56</v>
      </c>
      <c r="N23" s="104">
        <v>4</v>
      </c>
      <c r="O23" s="104" t="s">
        <v>89</v>
      </c>
      <c r="P23" s="104">
        <v>13</v>
      </c>
    </row>
    <row r="24" spans="1:16" ht="15.6" x14ac:dyDescent="0.3">
      <c r="A24" s="50">
        <v>520.02</v>
      </c>
      <c r="B24" s="21"/>
      <c r="C24" s="19" t="s">
        <v>114</v>
      </c>
      <c r="D24" s="137"/>
      <c r="E24" s="137"/>
      <c r="F24" s="137"/>
      <c r="H24" s="276">
        <v>42</v>
      </c>
      <c r="I24" s="276">
        <v>4</v>
      </c>
      <c r="J24" s="276" t="s">
        <v>441</v>
      </c>
      <c r="K24" s="276">
        <v>11</v>
      </c>
      <c r="L24" s="276"/>
      <c r="M24" s="276">
        <v>56</v>
      </c>
      <c r="N24" s="276">
        <v>4</v>
      </c>
      <c r="O24" s="276" t="s">
        <v>89</v>
      </c>
      <c r="P24" s="276">
        <v>13</v>
      </c>
    </row>
    <row r="25" spans="1:16" ht="15.6" x14ac:dyDescent="0.3">
      <c r="A25" s="37">
        <v>530</v>
      </c>
      <c r="B25" s="23"/>
      <c r="C25" s="20" t="s">
        <v>117</v>
      </c>
      <c r="D25" s="138"/>
      <c r="E25" s="138"/>
      <c r="F25" s="138"/>
      <c r="H25" s="104">
        <v>42</v>
      </c>
      <c r="I25" s="104">
        <v>4</v>
      </c>
      <c r="J25" s="104" t="s">
        <v>441</v>
      </c>
      <c r="K25" s="104">
        <v>11</v>
      </c>
      <c r="L25" s="104"/>
      <c r="M25" s="104">
        <v>56</v>
      </c>
      <c r="N25" s="104">
        <v>4</v>
      </c>
      <c r="O25" s="104" t="s">
        <v>89</v>
      </c>
      <c r="P25" s="104">
        <v>13</v>
      </c>
    </row>
    <row r="26" spans="1:16" ht="15.6" x14ac:dyDescent="0.3">
      <c r="A26" s="51" t="s">
        <v>155</v>
      </c>
      <c r="B26" s="22"/>
      <c r="C26" s="19" t="s">
        <v>160</v>
      </c>
      <c r="D26" s="137"/>
      <c r="E26" s="137"/>
      <c r="F26" s="137"/>
      <c r="H26" s="276">
        <v>42</v>
      </c>
      <c r="I26" s="276">
        <v>4</v>
      </c>
      <c r="J26" s="276" t="s">
        <v>441</v>
      </c>
      <c r="K26" s="276">
        <v>11</v>
      </c>
      <c r="L26" s="276"/>
      <c r="M26" s="276">
        <v>57</v>
      </c>
      <c r="N26" s="276">
        <v>4</v>
      </c>
      <c r="O26" s="276" t="s">
        <v>89</v>
      </c>
      <c r="P26" s="276">
        <v>14</v>
      </c>
    </row>
    <row r="27" spans="1:16" ht="15.6" x14ac:dyDescent="0.3">
      <c r="A27" s="64"/>
      <c r="B27" s="53"/>
      <c r="C27" s="58" t="s">
        <v>119</v>
      </c>
      <c r="D27" s="140"/>
      <c r="E27" s="140"/>
      <c r="F27" s="140"/>
      <c r="H27" s="104"/>
      <c r="I27" s="104"/>
      <c r="J27" s="104"/>
      <c r="K27" s="104"/>
      <c r="L27" s="104"/>
    </row>
    <row r="28" spans="1:16" ht="15.6" x14ac:dyDescent="0.3">
      <c r="A28" s="34" t="s">
        <v>139</v>
      </c>
      <c r="B28" s="35"/>
      <c r="C28" s="395" t="s">
        <v>144</v>
      </c>
      <c r="D28" s="395"/>
      <c r="E28" s="395"/>
      <c r="F28" s="396"/>
      <c r="H28" s="104">
        <v>36</v>
      </c>
      <c r="I28" s="104">
        <v>4</v>
      </c>
      <c r="J28" s="104" t="s">
        <v>441</v>
      </c>
      <c r="K28" s="104">
        <v>5</v>
      </c>
      <c r="L28" s="104"/>
    </row>
    <row r="29" spans="1:16" ht="15.6" x14ac:dyDescent="0.3">
      <c r="A29" s="52" t="s">
        <v>140</v>
      </c>
      <c r="B29" s="23"/>
      <c r="C29" s="20" t="s">
        <v>141</v>
      </c>
      <c r="D29" s="138"/>
      <c r="E29" s="138"/>
      <c r="F29" s="138"/>
      <c r="H29" s="104">
        <v>36</v>
      </c>
      <c r="I29" s="104">
        <v>4</v>
      </c>
      <c r="J29" s="104" t="s">
        <v>441</v>
      </c>
      <c r="K29" s="104">
        <v>5</v>
      </c>
      <c r="L29" s="104"/>
    </row>
    <row r="30" spans="1:16" ht="15.6" x14ac:dyDescent="0.3">
      <c r="A30" s="51" t="s">
        <v>142</v>
      </c>
      <c r="B30" s="22"/>
      <c r="C30" s="19" t="s">
        <v>143</v>
      </c>
      <c r="D30" s="137"/>
      <c r="E30" s="137"/>
      <c r="F30" s="137"/>
      <c r="H30" s="276">
        <v>36</v>
      </c>
      <c r="I30" s="276">
        <v>4</v>
      </c>
      <c r="J30" s="276" t="s">
        <v>441</v>
      </c>
      <c r="K30" s="276">
        <v>5</v>
      </c>
      <c r="L30" s="276"/>
      <c r="M30" s="276">
        <v>49</v>
      </c>
      <c r="N30" s="276">
        <v>4</v>
      </c>
      <c r="O30" s="276" t="s">
        <v>89</v>
      </c>
      <c r="P30" s="276">
        <v>6</v>
      </c>
    </row>
    <row r="31" spans="1:16" ht="15.6" x14ac:dyDescent="0.3">
      <c r="A31" s="65"/>
      <c r="B31" s="53"/>
      <c r="C31" s="58" t="s">
        <v>163</v>
      </c>
      <c r="D31" s="140"/>
      <c r="E31" s="140"/>
      <c r="F31" s="140"/>
      <c r="H31" s="104"/>
      <c r="I31" s="104"/>
      <c r="J31" s="104"/>
      <c r="K31" s="104"/>
      <c r="L31" s="104"/>
    </row>
    <row r="32" spans="1:16" ht="15.6" x14ac:dyDescent="0.3">
      <c r="A32" s="34">
        <v>590</v>
      </c>
      <c r="B32" s="35"/>
      <c r="C32" s="55" t="s">
        <v>148</v>
      </c>
      <c r="D32" s="56"/>
      <c r="E32" s="56"/>
      <c r="F32" s="57"/>
      <c r="H32" s="104">
        <v>43</v>
      </c>
      <c r="I32" s="104">
        <v>4</v>
      </c>
      <c r="J32" s="104" t="s">
        <v>441</v>
      </c>
      <c r="K32" s="104">
        <v>12</v>
      </c>
      <c r="L32" s="104"/>
    </row>
    <row r="33" spans="1:16" ht="15.6" x14ac:dyDescent="0.3">
      <c r="A33" s="52">
        <v>590.01</v>
      </c>
      <c r="B33" s="23"/>
      <c r="C33" s="20" t="s">
        <v>149</v>
      </c>
      <c r="D33" s="138"/>
      <c r="E33" s="138"/>
      <c r="F33" s="138"/>
      <c r="H33" s="104">
        <v>43</v>
      </c>
      <c r="I33" s="104">
        <v>4</v>
      </c>
      <c r="J33" s="104" t="s">
        <v>441</v>
      </c>
      <c r="K33" s="104">
        <v>12</v>
      </c>
      <c r="L33" s="104"/>
      <c r="M33" s="104">
        <v>57</v>
      </c>
      <c r="N33" s="104">
        <v>4</v>
      </c>
      <c r="O33" s="104" t="s">
        <v>89</v>
      </c>
      <c r="P33" s="104">
        <v>14</v>
      </c>
    </row>
    <row r="34" spans="1:16" ht="15.6" x14ac:dyDescent="0.3">
      <c r="A34" s="51">
        <v>590.02</v>
      </c>
      <c r="B34" s="22"/>
      <c r="C34" s="19" t="s">
        <v>150</v>
      </c>
      <c r="D34" s="137"/>
      <c r="E34" s="137"/>
      <c r="F34" s="137"/>
      <c r="H34" s="276">
        <v>43</v>
      </c>
      <c r="I34" s="276">
        <v>4</v>
      </c>
      <c r="J34" s="276" t="s">
        <v>441</v>
      </c>
      <c r="K34" s="276">
        <v>12</v>
      </c>
      <c r="L34" s="276"/>
      <c r="M34" s="276">
        <v>57</v>
      </c>
      <c r="N34" s="276">
        <v>4</v>
      </c>
      <c r="O34" s="276" t="s">
        <v>89</v>
      </c>
      <c r="P34" s="276">
        <v>14</v>
      </c>
    </row>
    <row r="35" spans="1:16" ht="15.6" x14ac:dyDescent="0.3">
      <c r="A35" s="52">
        <v>590.03</v>
      </c>
      <c r="B35" s="23"/>
      <c r="C35" s="20" t="s">
        <v>151</v>
      </c>
      <c r="D35" s="138"/>
      <c r="E35" s="138"/>
      <c r="F35" s="138"/>
      <c r="H35" s="104">
        <v>43</v>
      </c>
      <c r="I35" s="104">
        <v>4</v>
      </c>
      <c r="J35" s="104" t="s">
        <v>441</v>
      </c>
      <c r="K35" s="104">
        <v>12</v>
      </c>
      <c r="L35" s="104"/>
    </row>
    <row r="36" spans="1:16" ht="15.6" x14ac:dyDescent="0.3">
      <c r="A36" s="51">
        <v>590.04</v>
      </c>
      <c r="B36" s="22"/>
      <c r="C36" s="19" t="s">
        <v>152</v>
      </c>
      <c r="D36" s="137"/>
      <c r="E36" s="137"/>
      <c r="F36" s="137"/>
      <c r="H36" s="276">
        <v>43</v>
      </c>
      <c r="I36" s="276">
        <v>4</v>
      </c>
      <c r="J36" s="276" t="s">
        <v>441</v>
      </c>
      <c r="K36" s="276">
        <v>12</v>
      </c>
      <c r="L36" s="276"/>
      <c r="M36" s="10"/>
      <c r="N36" s="10"/>
      <c r="O36" s="10"/>
      <c r="P36" s="10"/>
    </row>
    <row r="37" spans="1:16" ht="15.6" x14ac:dyDescent="0.3">
      <c r="A37" s="64"/>
      <c r="B37" s="53"/>
      <c r="C37" s="58" t="s">
        <v>449</v>
      </c>
      <c r="D37" s="140"/>
      <c r="E37" s="140"/>
      <c r="F37" s="140"/>
      <c r="H37" s="333"/>
      <c r="I37" s="333"/>
      <c r="J37" s="333"/>
      <c r="K37" s="333"/>
      <c r="L37" s="333"/>
      <c r="M37" s="334"/>
      <c r="N37" s="334"/>
      <c r="O37" s="334"/>
      <c r="P37" s="334"/>
    </row>
    <row r="38" spans="1:16" ht="15.6" x14ac:dyDescent="0.3">
      <c r="A38" s="61"/>
      <c r="C38" s="78" t="s">
        <v>412</v>
      </c>
      <c r="D38" s="137"/>
      <c r="E38" s="137"/>
      <c r="F38" s="137"/>
      <c r="H38" s="332"/>
      <c r="I38" s="332"/>
      <c r="J38" s="332"/>
      <c r="K38" s="332"/>
      <c r="L38" s="332"/>
      <c r="M38" s="320"/>
      <c r="N38" s="320"/>
      <c r="O38" s="320"/>
      <c r="P38" s="320"/>
    </row>
    <row r="39" spans="1:16" ht="15.6" x14ac:dyDescent="0.3">
      <c r="A39" s="352"/>
      <c r="B39" s="356"/>
      <c r="C39" s="337"/>
      <c r="D39" s="138"/>
      <c r="E39" s="138"/>
      <c r="F39" s="138"/>
      <c r="H39" s="333"/>
      <c r="I39" s="333"/>
      <c r="J39" s="333"/>
      <c r="K39" s="333"/>
      <c r="L39" s="333"/>
      <c r="M39" s="334"/>
      <c r="N39" s="334"/>
      <c r="O39" s="334"/>
      <c r="P39" s="334"/>
    </row>
    <row r="40" spans="1:16" ht="15.6" x14ac:dyDescent="0.3">
      <c r="A40" s="354"/>
      <c r="B40" s="357"/>
      <c r="C40" s="355"/>
      <c r="D40" s="137"/>
      <c r="E40" s="137"/>
      <c r="F40" s="137"/>
      <c r="G40" s="11"/>
      <c r="H40" s="332"/>
      <c r="I40" s="332"/>
      <c r="J40" s="332"/>
      <c r="K40" s="332"/>
      <c r="L40" s="332"/>
      <c r="M40" s="320"/>
      <c r="N40" s="320"/>
      <c r="O40" s="320"/>
      <c r="P40" s="320"/>
    </row>
    <row r="41" spans="1:16" ht="18" x14ac:dyDescent="0.35">
      <c r="A41" s="61"/>
      <c r="B41" s="16"/>
      <c r="C41" s="59" t="s">
        <v>432</v>
      </c>
      <c r="D41" s="313">
        <f>SUM(D12:D40)</f>
        <v>0</v>
      </c>
      <c r="E41" s="313">
        <f>SUM(E12:E40)</f>
        <v>0</v>
      </c>
      <c r="F41" s="313">
        <f>SUM(F12:F40)</f>
        <v>0</v>
      </c>
      <c r="H41" s="333"/>
      <c r="I41" s="333"/>
      <c r="J41" s="333"/>
      <c r="K41" s="333"/>
      <c r="L41" s="333"/>
      <c r="M41" s="334"/>
      <c r="N41" s="334"/>
      <c r="O41" s="334"/>
      <c r="P41" s="334"/>
    </row>
    <row r="42" spans="1:16" ht="6" customHeight="1" x14ac:dyDescent="0.35">
      <c r="A42" s="3"/>
      <c r="B42" s="15"/>
      <c r="C42" s="49"/>
      <c r="D42" s="47"/>
      <c r="E42" s="47"/>
      <c r="F42" s="48"/>
      <c r="H42" s="333"/>
      <c r="I42" s="333"/>
      <c r="J42" s="333"/>
      <c r="K42" s="333"/>
      <c r="L42" s="333"/>
      <c r="M42" s="334"/>
      <c r="N42" s="334"/>
      <c r="O42" s="334"/>
      <c r="P42" s="334"/>
    </row>
    <row r="43" spans="1:16" ht="18" x14ac:dyDescent="0.35">
      <c r="A43" s="38" t="s">
        <v>122</v>
      </c>
      <c r="B43" s="99"/>
      <c r="C43" s="99" t="s">
        <v>401</v>
      </c>
      <c r="D43" s="45"/>
      <c r="E43" s="45"/>
      <c r="F43" s="46"/>
      <c r="H43" s="333"/>
      <c r="I43" s="333"/>
      <c r="J43" s="333"/>
      <c r="K43" s="333"/>
      <c r="L43" s="333"/>
      <c r="M43" s="334"/>
      <c r="N43" s="334"/>
      <c r="O43" s="334"/>
      <c r="P43" s="334"/>
    </row>
    <row r="44" spans="1:16" ht="15.6" x14ac:dyDescent="0.3">
      <c r="A44" s="39" t="s">
        <v>126</v>
      </c>
      <c r="B44" s="23"/>
      <c r="C44" s="20" t="s">
        <v>437</v>
      </c>
      <c r="D44" s="138"/>
      <c r="E44" s="138"/>
      <c r="F44" s="138"/>
      <c r="H44" s="104">
        <v>35</v>
      </c>
      <c r="I44" s="104">
        <v>4</v>
      </c>
      <c r="J44" s="104" t="s">
        <v>441</v>
      </c>
      <c r="K44" s="104">
        <v>4</v>
      </c>
      <c r="L44" s="104"/>
    </row>
    <row r="45" spans="1:16" ht="15.6" x14ac:dyDescent="0.3">
      <c r="A45" s="22">
        <v>344.01</v>
      </c>
      <c r="B45" s="22"/>
      <c r="C45" s="19" t="s">
        <v>77</v>
      </c>
      <c r="D45" s="137"/>
      <c r="E45" s="137"/>
      <c r="F45" s="137"/>
      <c r="H45" s="276">
        <v>36</v>
      </c>
      <c r="I45" s="276">
        <v>4</v>
      </c>
      <c r="J45" s="276" t="s">
        <v>441</v>
      </c>
      <c r="K45" s="276">
        <v>5</v>
      </c>
      <c r="L45" s="276"/>
      <c r="M45" s="276">
        <v>48</v>
      </c>
      <c r="N45" s="276">
        <v>4</v>
      </c>
      <c r="O45" s="276" t="s">
        <v>89</v>
      </c>
      <c r="P45" s="276">
        <v>5</v>
      </c>
    </row>
    <row r="46" spans="1:16" ht="15.6" x14ac:dyDescent="0.3">
      <c r="A46" s="23">
        <v>344.05</v>
      </c>
      <c r="B46" s="23"/>
      <c r="C46" s="20" t="s">
        <v>128</v>
      </c>
      <c r="D46" s="138"/>
      <c r="E46" s="138"/>
      <c r="F46" s="138"/>
      <c r="H46" s="104">
        <v>36</v>
      </c>
      <c r="I46" s="104">
        <v>4</v>
      </c>
      <c r="J46" s="104" t="s">
        <v>441</v>
      </c>
      <c r="K46" s="104">
        <v>5</v>
      </c>
      <c r="L46" s="104"/>
    </row>
    <row r="47" spans="1:16" ht="15.6" x14ac:dyDescent="0.3">
      <c r="A47" s="22">
        <v>345.05</v>
      </c>
      <c r="B47" s="22"/>
      <c r="C47" s="19" t="s">
        <v>129</v>
      </c>
      <c r="D47" s="137"/>
      <c r="E47" s="137"/>
      <c r="F47" s="137"/>
      <c r="H47" s="276">
        <v>36</v>
      </c>
      <c r="I47" s="276">
        <v>4</v>
      </c>
      <c r="J47" s="276" t="s">
        <v>441</v>
      </c>
      <c r="K47" s="276">
        <v>5</v>
      </c>
      <c r="L47" s="276"/>
      <c r="M47" s="10"/>
      <c r="N47" s="10"/>
      <c r="O47" s="10"/>
      <c r="P47" s="10"/>
    </row>
    <row r="48" spans="1:16" ht="15.6" x14ac:dyDescent="0.3">
      <c r="A48" s="23">
        <v>345.06</v>
      </c>
      <c r="B48" s="23"/>
      <c r="C48" s="20" t="s">
        <v>131</v>
      </c>
      <c r="D48" s="138"/>
      <c r="E48" s="138"/>
      <c r="F48" s="138"/>
      <c r="H48" s="104">
        <v>36</v>
      </c>
      <c r="I48" s="104">
        <v>4</v>
      </c>
      <c r="J48" s="104" t="s">
        <v>441</v>
      </c>
      <c r="K48" s="104">
        <v>5</v>
      </c>
      <c r="L48" s="104"/>
    </row>
    <row r="49" spans="1:16" ht="15.6" x14ac:dyDescent="0.3">
      <c r="A49" s="22">
        <v>346.01</v>
      </c>
      <c r="B49" s="22"/>
      <c r="C49" s="19" t="s">
        <v>130</v>
      </c>
      <c r="D49" s="137"/>
      <c r="E49" s="137"/>
      <c r="F49" s="137"/>
      <c r="H49" s="276">
        <v>36</v>
      </c>
      <c r="I49" s="276">
        <v>4</v>
      </c>
      <c r="J49" s="276" t="s">
        <v>441</v>
      </c>
      <c r="K49" s="276">
        <v>5</v>
      </c>
      <c r="L49" s="276"/>
      <c r="M49" s="276">
        <v>48</v>
      </c>
      <c r="N49" s="276">
        <v>4</v>
      </c>
      <c r="O49" s="10" t="s">
        <v>89</v>
      </c>
      <c r="P49" s="276">
        <v>5</v>
      </c>
    </row>
    <row r="50" spans="1:16" ht="15.6" x14ac:dyDescent="0.3">
      <c r="A50" s="23">
        <v>346.03</v>
      </c>
      <c r="B50" s="23"/>
      <c r="C50" s="20" t="s">
        <v>109</v>
      </c>
      <c r="D50" s="138"/>
      <c r="E50" s="138"/>
      <c r="F50" s="138"/>
      <c r="H50" s="104">
        <v>36</v>
      </c>
      <c r="I50" s="104">
        <v>4</v>
      </c>
      <c r="J50" s="104" t="s">
        <v>441</v>
      </c>
      <c r="K50" s="104">
        <v>5</v>
      </c>
      <c r="L50" s="104"/>
    </row>
    <row r="51" spans="1:16" ht="15.6" x14ac:dyDescent="0.3">
      <c r="A51" s="22">
        <v>346.04</v>
      </c>
      <c r="B51" s="22"/>
      <c r="C51" s="19" t="s">
        <v>111</v>
      </c>
      <c r="D51" s="137"/>
      <c r="E51" s="137"/>
      <c r="F51" s="137"/>
      <c r="H51" s="276">
        <v>36</v>
      </c>
      <c r="I51" s="276">
        <v>4</v>
      </c>
      <c r="J51" s="276" t="s">
        <v>441</v>
      </c>
      <c r="K51" s="276">
        <v>5</v>
      </c>
      <c r="L51" s="276"/>
      <c r="M51" s="10"/>
      <c r="N51" s="10"/>
      <c r="O51" s="10"/>
      <c r="P51" s="10"/>
    </row>
    <row r="52" spans="1:16" ht="15.6" x14ac:dyDescent="0.3">
      <c r="A52" s="40">
        <v>347.01</v>
      </c>
      <c r="B52" s="40"/>
      <c r="C52" s="41" t="s">
        <v>78</v>
      </c>
      <c r="D52" s="139"/>
      <c r="E52" s="139">
        <v>0.01</v>
      </c>
      <c r="F52" s="139"/>
      <c r="H52" s="104">
        <v>36</v>
      </c>
      <c r="I52" s="104">
        <v>4</v>
      </c>
      <c r="J52" s="104" t="s">
        <v>441</v>
      </c>
      <c r="K52" s="104">
        <v>5</v>
      </c>
      <c r="L52" s="104"/>
      <c r="M52" s="104">
        <v>48</v>
      </c>
      <c r="N52" s="104">
        <v>4</v>
      </c>
      <c r="O52" s="104" t="s">
        <v>89</v>
      </c>
      <c r="P52" s="104">
        <v>5</v>
      </c>
    </row>
    <row r="53" spans="1:16" ht="15.6" x14ac:dyDescent="0.3">
      <c r="A53" s="22">
        <v>347.02</v>
      </c>
      <c r="B53" s="22"/>
      <c r="C53" s="19" t="s">
        <v>102</v>
      </c>
      <c r="D53" s="137"/>
      <c r="E53" s="137"/>
      <c r="F53" s="137"/>
      <c r="H53" s="276">
        <v>36</v>
      </c>
      <c r="I53" s="276">
        <v>4</v>
      </c>
      <c r="J53" s="276" t="s">
        <v>441</v>
      </c>
      <c r="K53" s="276">
        <v>5</v>
      </c>
      <c r="L53" s="276"/>
      <c r="M53" s="276">
        <v>48</v>
      </c>
      <c r="N53" s="276">
        <v>4</v>
      </c>
      <c r="O53" s="276" t="s">
        <v>89</v>
      </c>
      <c r="P53" s="276">
        <v>5</v>
      </c>
    </row>
    <row r="54" spans="1:16" ht="15.6" x14ac:dyDescent="0.3">
      <c r="A54" s="23">
        <v>347.04</v>
      </c>
      <c r="B54" s="23"/>
      <c r="C54" s="20" t="s">
        <v>110</v>
      </c>
      <c r="D54" s="138"/>
      <c r="E54" s="138"/>
      <c r="F54" s="138"/>
      <c r="H54" s="104">
        <v>36</v>
      </c>
      <c r="I54" s="104">
        <v>4</v>
      </c>
      <c r="J54" s="104" t="s">
        <v>441</v>
      </c>
      <c r="K54" s="104">
        <v>5</v>
      </c>
      <c r="L54" s="104"/>
    </row>
    <row r="55" spans="1:16" ht="15.6" x14ac:dyDescent="0.3">
      <c r="A55" s="33" t="s">
        <v>107</v>
      </c>
      <c r="B55" s="22"/>
      <c r="C55" s="19" t="s">
        <v>108</v>
      </c>
      <c r="D55" s="137"/>
      <c r="E55" s="137"/>
      <c r="F55" s="137"/>
      <c r="H55" s="276">
        <v>36</v>
      </c>
      <c r="I55" s="276">
        <v>4</v>
      </c>
      <c r="J55" s="276" t="s">
        <v>441</v>
      </c>
      <c r="K55" s="276">
        <v>5</v>
      </c>
      <c r="L55" s="276"/>
      <c r="M55" s="276">
        <v>48</v>
      </c>
      <c r="N55" s="276">
        <v>4</v>
      </c>
      <c r="O55" s="276" t="s">
        <v>89</v>
      </c>
      <c r="P55" s="276">
        <v>5</v>
      </c>
    </row>
    <row r="56" spans="1:16" ht="15.6" x14ac:dyDescent="0.3">
      <c r="A56" s="39" t="s">
        <v>435</v>
      </c>
      <c r="B56" s="23"/>
      <c r="C56" s="20" t="s">
        <v>436</v>
      </c>
      <c r="D56" s="138"/>
      <c r="E56" s="138"/>
      <c r="F56" s="138"/>
      <c r="H56" s="104">
        <v>36</v>
      </c>
      <c r="I56" s="104">
        <v>4</v>
      </c>
      <c r="J56" s="104" t="s">
        <v>441</v>
      </c>
      <c r="K56" s="104">
        <v>5</v>
      </c>
      <c r="L56" s="104"/>
    </row>
    <row r="57" spans="1:16" ht="15.6" x14ac:dyDescent="0.3">
      <c r="A57" s="33" t="s">
        <v>105</v>
      </c>
      <c r="B57" s="22"/>
      <c r="C57" s="19" t="s">
        <v>103</v>
      </c>
      <c r="D57" s="137"/>
      <c r="E57" s="137"/>
      <c r="F57" s="137"/>
      <c r="H57" s="276">
        <v>36</v>
      </c>
      <c r="I57" s="276">
        <v>4</v>
      </c>
      <c r="J57" s="276" t="s">
        <v>441</v>
      </c>
      <c r="K57" s="276">
        <v>5</v>
      </c>
      <c r="L57" s="276"/>
      <c r="M57" s="10"/>
      <c r="N57" s="10"/>
      <c r="O57" s="10"/>
      <c r="P57" s="10"/>
    </row>
    <row r="58" spans="1:16" ht="15.6" x14ac:dyDescent="0.3">
      <c r="A58" s="39" t="s">
        <v>106</v>
      </c>
      <c r="B58" s="23"/>
      <c r="C58" s="20" t="s">
        <v>104</v>
      </c>
      <c r="D58" s="138"/>
      <c r="E58" s="138"/>
      <c r="F58" s="138"/>
      <c r="H58" s="104">
        <v>36</v>
      </c>
      <c r="I58" s="104">
        <v>4</v>
      </c>
      <c r="J58" s="104" t="s">
        <v>441</v>
      </c>
      <c r="K58" s="104">
        <v>5</v>
      </c>
      <c r="L58" s="104"/>
    </row>
    <row r="59" spans="1:16" ht="15.6" x14ac:dyDescent="0.3">
      <c r="A59" s="346"/>
      <c r="B59" s="347"/>
      <c r="C59" s="348"/>
      <c r="D59" s="137"/>
      <c r="E59" s="137"/>
      <c r="F59" s="137"/>
      <c r="G59" s="11"/>
      <c r="H59" s="332"/>
      <c r="I59" s="332"/>
      <c r="J59" s="332"/>
      <c r="K59" s="332"/>
      <c r="L59" s="332"/>
      <c r="M59" s="320"/>
      <c r="N59" s="320"/>
      <c r="O59" s="320"/>
      <c r="P59" s="320"/>
    </row>
    <row r="60" spans="1:16" ht="15.6" x14ac:dyDescent="0.3">
      <c r="A60" s="349"/>
      <c r="B60" s="350"/>
      <c r="C60" s="351"/>
      <c r="D60" s="138"/>
      <c r="E60" s="138"/>
      <c r="F60" s="138"/>
      <c r="H60" s="333"/>
      <c r="I60" s="333"/>
      <c r="J60" s="333"/>
      <c r="K60" s="333"/>
      <c r="L60" s="333"/>
      <c r="M60" s="334"/>
      <c r="N60" s="334"/>
      <c r="O60" s="334"/>
      <c r="P60" s="334"/>
    </row>
    <row r="61" spans="1:16" ht="15.6" x14ac:dyDescent="0.3">
      <c r="A61" s="346"/>
      <c r="B61" s="347"/>
      <c r="C61" s="348"/>
      <c r="D61" s="137"/>
      <c r="E61" s="137"/>
      <c r="F61" s="137"/>
      <c r="G61" s="11"/>
      <c r="H61" s="332"/>
      <c r="I61" s="332"/>
      <c r="J61" s="332"/>
      <c r="K61" s="332"/>
      <c r="L61" s="332"/>
      <c r="M61" s="320"/>
      <c r="N61" s="320"/>
      <c r="O61" s="320"/>
      <c r="P61" s="320"/>
    </row>
    <row r="62" spans="1:16" ht="15.6" x14ac:dyDescent="0.3">
      <c r="A62" s="61"/>
      <c r="B62" s="15"/>
      <c r="C62" s="345" t="s">
        <v>450</v>
      </c>
      <c r="D62" s="120"/>
      <c r="E62" s="120"/>
      <c r="F62" s="120"/>
      <c r="H62" s="331"/>
      <c r="I62" s="331"/>
      <c r="J62" s="331"/>
      <c r="K62" s="331"/>
      <c r="L62" s="331"/>
      <c r="M62" s="319"/>
      <c r="N62" s="319"/>
      <c r="O62" s="319"/>
      <c r="P62" s="319"/>
    </row>
    <row r="63" spans="1:16" ht="18" x14ac:dyDescent="0.35">
      <c r="A63" s="61"/>
      <c r="B63" s="16"/>
      <c r="C63" s="59" t="s">
        <v>81</v>
      </c>
      <c r="D63" s="142">
        <f>SUM(D44:D62)</f>
        <v>0</v>
      </c>
      <c r="E63" s="142">
        <f>SUM(E44:E62)</f>
        <v>0.01</v>
      </c>
      <c r="F63" s="142">
        <f>SUM(F44:F62)</f>
        <v>0</v>
      </c>
      <c r="H63" s="333"/>
      <c r="I63" s="333"/>
      <c r="J63" s="333"/>
      <c r="K63" s="333"/>
      <c r="L63" s="333"/>
      <c r="M63" s="334"/>
      <c r="N63" s="334"/>
      <c r="O63" s="334"/>
      <c r="P63" s="334"/>
    </row>
    <row r="64" spans="1:16" ht="6" customHeight="1" x14ac:dyDescent="0.35">
      <c r="A64" s="3"/>
      <c r="B64" s="15"/>
      <c r="C64" s="49"/>
      <c r="D64" s="47"/>
      <c r="E64" s="47"/>
      <c r="F64" s="48"/>
      <c r="H64" s="333"/>
      <c r="I64" s="333"/>
      <c r="J64" s="333"/>
      <c r="K64" s="333"/>
      <c r="L64" s="333"/>
      <c r="M64" s="334"/>
      <c r="N64" s="334"/>
      <c r="O64" s="334"/>
      <c r="P64" s="334"/>
    </row>
    <row r="65" spans="1:16" ht="18" x14ac:dyDescent="0.35">
      <c r="A65" s="38" t="s">
        <v>138</v>
      </c>
      <c r="B65" s="102"/>
      <c r="C65" s="101" t="s">
        <v>400</v>
      </c>
      <c r="D65" s="143"/>
      <c r="E65" s="143"/>
      <c r="F65" s="144"/>
      <c r="H65" s="333"/>
      <c r="I65" s="333"/>
      <c r="J65" s="333"/>
      <c r="K65" s="333"/>
      <c r="L65" s="333"/>
      <c r="M65" s="334"/>
      <c r="N65" s="334"/>
      <c r="O65" s="334"/>
      <c r="P65" s="334"/>
    </row>
    <row r="66" spans="1:16" ht="15.6" x14ac:dyDescent="0.3">
      <c r="A66" s="21">
        <v>330.38</v>
      </c>
      <c r="B66" s="21"/>
      <c r="C66" s="18" t="s">
        <v>438</v>
      </c>
      <c r="D66" s="136"/>
      <c r="E66" s="136"/>
      <c r="F66" s="136"/>
      <c r="H66" s="104">
        <v>34</v>
      </c>
      <c r="I66" s="104">
        <v>4</v>
      </c>
      <c r="J66" s="104" t="s">
        <v>441</v>
      </c>
      <c r="K66" s="104">
        <v>3</v>
      </c>
      <c r="L66" s="104"/>
    </row>
    <row r="67" spans="1:16" ht="15.6" x14ac:dyDescent="0.3">
      <c r="A67" s="270">
        <v>330.5</v>
      </c>
      <c r="B67" s="22"/>
      <c r="C67" s="19" t="s">
        <v>439</v>
      </c>
      <c r="D67" s="137"/>
      <c r="E67" s="137"/>
      <c r="F67" s="137"/>
      <c r="G67" s="353"/>
      <c r="H67" s="276">
        <v>34</v>
      </c>
      <c r="I67" s="276">
        <v>4</v>
      </c>
      <c r="J67" s="276" t="s">
        <v>441</v>
      </c>
      <c r="K67" s="276">
        <v>3</v>
      </c>
      <c r="L67" s="276"/>
      <c r="M67" s="276">
        <v>46</v>
      </c>
      <c r="N67" s="276">
        <v>4</v>
      </c>
      <c r="O67" s="276" t="s">
        <v>89</v>
      </c>
      <c r="P67" s="276">
        <v>3</v>
      </c>
    </row>
    <row r="68" spans="1:16" ht="15.6" x14ac:dyDescent="0.3">
      <c r="A68" s="21">
        <v>334.01</v>
      </c>
      <c r="B68" s="21"/>
      <c r="C68" s="18" t="s">
        <v>440</v>
      </c>
      <c r="D68" s="136"/>
      <c r="E68" s="136"/>
      <c r="F68" s="136"/>
      <c r="G68" s="353"/>
      <c r="H68" s="104">
        <v>35</v>
      </c>
      <c r="I68" s="104">
        <v>4</v>
      </c>
      <c r="J68" s="104" t="s">
        <v>441</v>
      </c>
      <c r="K68" s="104">
        <v>4</v>
      </c>
      <c r="L68" s="104"/>
      <c r="M68" s="104">
        <v>47</v>
      </c>
      <c r="N68" s="104">
        <v>4</v>
      </c>
      <c r="O68" s="104" t="s">
        <v>89</v>
      </c>
      <c r="P68" s="104">
        <v>4</v>
      </c>
    </row>
    <row r="69" spans="1:16" ht="15.6" x14ac:dyDescent="0.3">
      <c r="A69" s="22" t="s">
        <v>101</v>
      </c>
      <c r="B69" s="22"/>
      <c r="C69" s="19" t="s">
        <v>100</v>
      </c>
      <c r="D69" s="137"/>
      <c r="E69" s="137"/>
      <c r="F69" s="137"/>
      <c r="G69" s="353"/>
      <c r="H69" s="276">
        <v>35</v>
      </c>
      <c r="I69" s="276">
        <v>4</v>
      </c>
      <c r="J69" s="276" t="s">
        <v>441</v>
      </c>
      <c r="K69" s="276">
        <v>4</v>
      </c>
      <c r="L69" s="276"/>
      <c r="M69" s="276">
        <v>47</v>
      </c>
      <c r="N69" s="276">
        <v>4</v>
      </c>
      <c r="O69" s="276" t="s">
        <v>89</v>
      </c>
      <c r="P69" s="276">
        <v>4</v>
      </c>
    </row>
    <row r="70" spans="1:16" ht="15.6" x14ac:dyDescent="0.3">
      <c r="A70" s="350"/>
      <c r="B70" s="350"/>
      <c r="C70" s="351"/>
      <c r="D70" s="138"/>
      <c r="E70" s="138"/>
      <c r="F70" s="138"/>
      <c r="G70" s="353"/>
      <c r="H70" s="331"/>
      <c r="I70" s="331"/>
      <c r="J70" s="331"/>
      <c r="K70" s="331"/>
      <c r="L70" s="331"/>
      <c r="M70" s="331"/>
      <c r="N70" s="331"/>
      <c r="O70" s="331"/>
      <c r="P70" s="331"/>
    </row>
    <row r="71" spans="1:16" ht="15.6" x14ac:dyDescent="0.3">
      <c r="A71" s="347"/>
      <c r="B71" s="347"/>
      <c r="C71" s="348"/>
      <c r="D71" s="137"/>
      <c r="E71" s="137"/>
      <c r="F71" s="137"/>
      <c r="G71" s="353"/>
      <c r="H71" s="332"/>
      <c r="I71" s="332"/>
      <c r="J71" s="332"/>
      <c r="K71" s="332"/>
      <c r="L71" s="332"/>
      <c r="M71" s="332"/>
      <c r="N71" s="332"/>
      <c r="O71" s="332"/>
      <c r="P71" s="332"/>
    </row>
    <row r="72" spans="1:16" ht="15.6" x14ac:dyDescent="0.3">
      <c r="A72" s="66"/>
      <c r="B72" s="21"/>
      <c r="C72" s="17" t="s">
        <v>451</v>
      </c>
      <c r="D72" s="136"/>
      <c r="E72" s="136"/>
      <c r="F72" s="136"/>
      <c r="G72" s="353"/>
      <c r="H72" s="104"/>
      <c r="I72" s="104"/>
      <c r="J72" s="104"/>
      <c r="K72" s="104"/>
      <c r="L72" s="104"/>
    </row>
    <row r="73" spans="1:16" ht="18" x14ac:dyDescent="0.35">
      <c r="A73" s="61"/>
      <c r="B73" s="7"/>
      <c r="C73" s="59" t="s">
        <v>82</v>
      </c>
      <c r="D73" s="26">
        <f>SUM(D66:D72)</f>
        <v>0</v>
      </c>
      <c r="E73" s="26">
        <f>SUM(E66:E72)</f>
        <v>0</v>
      </c>
      <c r="F73" s="26">
        <f>SUM(F66:F72)</f>
        <v>0</v>
      </c>
    </row>
    <row r="74" spans="1:16" ht="21" x14ac:dyDescent="0.4">
      <c r="A74" s="44"/>
      <c r="B74" s="60"/>
      <c r="C74" s="60" t="s">
        <v>159</v>
      </c>
      <c r="D74" s="314">
        <f>+D41+D63+D73</f>
        <v>0</v>
      </c>
      <c r="E74" s="314">
        <f>+E41+E63+E73</f>
        <v>0.01</v>
      </c>
      <c r="F74" s="314">
        <f>+F41+F63+F73</f>
        <v>0</v>
      </c>
    </row>
    <row r="75" spans="1:16" ht="6" customHeight="1" x14ac:dyDescent="0.4">
      <c r="A75" s="44"/>
      <c r="B75" s="62"/>
      <c r="C75" s="62"/>
      <c r="D75" s="27"/>
      <c r="E75" s="27"/>
      <c r="F75" s="27"/>
    </row>
    <row r="76" spans="1:16" ht="15" customHeight="1" x14ac:dyDescent="0.4">
      <c r="A76" s="44"/>
      <c r="B76" s="62"/>
      <c r="C76" s="63" t="s">
        <v>161</v>
      </c>
      <c r="D76" s="314">
        <f>+'Expend Data'!D226</f>
        <v>0</v>
      </c>
      <c r="E76" s="314">
        <f>+'Expend Data'!E226</f>
        <v>0</v>
      </c>
      <c r="F76" s="314">
        <f>+'Expend Data'!F226</f>
        <v>0</v>
      </c>
    </row>
    <row r="77" spans="1:16" ht="6" customHeight="1" x14ac:dyDescent="0.4">
      <c r="A77" s="44"/>
      <c r="B77" s="62"/>
      <c r="C77" s="63"/>
      <c r="D77" s="27"/>
      <c r="E77" s="27"/>
      <c r="F77" s="27"/>
    </row>
    <row r="78" spans="1:16" ht="15" customHeight="1" x14ac:dyDescent="0.4">
      <c r="A78" s="44"/>
      <c r="B78" s="62"/>
      <c r="C78" s="63" t="s">
        <v>162</v>
      </c>
      <c r="D78" s="314"/>
      <c r="E78" s="314"/>
      <c r="F78" s="314"/>
    </row>
    <row r="79" spans="1:16" ht="6" customHeight="1" x14ac:dyDescent="0.3">
      <c r="A79" s="44"/>
    </row>
    <row r="80" spans="1:16" ht="6" customHeight="1" x14ac:dyDescent="0.3">
      <c r="A80" s="44"/>
    </row>
    <row r="81" spans="1:6" ht="15" customHeight="1" x14ac:dyDescent="0.3">
      <c r="A81" s="393" t="s">
        <v>427</v>
      </c>
      <c r="C81" s="317" t="s">
        <v>425</v>
      </c>
      <c r="D81" s="315"/>
      <c r="E81" s="315"/>
      <c r="F81" s="315"/>
    </row>
    <row r="82" spans="1:6" ht="15" customHeight="1" x14ac:dyDescent="0.3">
      <c r="A82" s="393"/>
      <c r="C82" s="317" t="s">
        <v>426</v>
      </c>
      <c r="D82" s="315"/>
      <c r="E82" s="315"/>
      <c r="F82" s="315"/>
    </row>
    <row r="83" spans="1:6" ht="88.95" customHeight="1" x14ac:dyDescent="0.3">
      <c r="A83" s="394"/>
      <c r="C83" s="318" t="s">
        <v>463</v>
      </c>
      <c r="D83" s="316"/>
      <c r="E83" s="316"/>
      <c r="F83" s="316"/>
    </row>
    <row r="84" spans="1:6" s="334" customFormat="1" ht="14.25" customHeight="1" x14ac:dyDescent="0.3">
      <c r="A84" s="358"/>
    </row>
    <row r="85" spans="1:6" s="334" customFormat="1" ht="14.25" customHeight="1" x14ac:dyDescent="0.3">
      <c r="A85" s="359"/>
    </row>
    <row r="86" spans="1:6" s="334" customFormat="1" x14ac:dyDescent="0.3"/>
    <row r="87" spans="1:6" s="334" customFormat="1" x14ac:dyDescent="0.3"/>
    <row r="88" spans="1:6" s="334" customFormat="1" x14ac:dyDescent="0.3"/>
    <row r="89" spans="1:6" s="334" customFormat="1" x14ac:dyDescent="0.3"/>
    <row r="90" spans="1:6" s="334" customFormat="1" x14ac:dyDescent="0.3"/>
    <row r="91" spans="1:6" s="334" customFormat="1" x14ac:dyDescent="0.3"/>
    <row r="92" spans="1:6" s="334" customFormat="1" x14ac:dyDescent="0.3"/>
    <row r="93" spans="1:6" s="334" customFormat="1" x14ac:dyDescent="0.3"/>
    <row r="94" spans="1:6" s="334" customFormat="1" x14ac:dyDescent="0.3"/>
    <row r="95" spans="1:6" s="334" customFormat="1" x14ac:dyDescent="0.3"/>
    <row r="96" spans="1:6" s="334" customFormat="1" x14ac:dyDescent="0.3"/>
    <row r="97" s="334" customFormat="1" x14ac:dyDescent="0.3"/>
    <row r="98" s="334" customFormat="1" x14ac:dyDescent="0.3"/>
    <row r="99" s="334" customFormat="1" x14ac:dyDescent="0.3"/>
    <row r="100" s="334" customFormat="1" x14ac:dyDescent="0.3"/>
    <row r="101" s="334" customFormat="1" x14ac:dyDescent="0.3"/>
    <row r="102" s="334" customFormat="1" x14ac:dyDescent="0.3"/>
    <row r="103" s="334" customFormat="1" x14ac:dyDescent="0.3"/>
    <row r="104" s="334" customFormat="1" x14ac:dyDescent="0.3"/>
    <row r="105" s="334" customFormat="1" x14ac:dyDescent="0.3"/>
    <row r="106" s="334" customFormat="1" x14ac:dyDescent="0.3"/>
    <row r="107" s="334" customFormat="1" x14ac:dyDescent="0.3"/>
    <row r="108" s="334" customFormat="1" x14ac:dyDescent="0.3"/>
    <row r="109" s="334" customFormat="1" x14ac:dyDescent="0.3"/>
    <row r="110" s="334" customFormat="1" x14ac:dyDescent="0.3"/>
    <row r="111" s="334" customFormat="1" x14ac:dyDescent="0.3"/>
    <row r="112" s="334" customFormat="1" x14ac:dyDescent="0.3"/>
    <row r="113" s="334" customFormat="1" x14ac:dyDescent="0.3"/>
    <row r="114" s="334" customFormat="1" x14ac:dyDescent="0.3"/>
    <row r="115" s="334" customFormat="1" x14ac:dyDescent="0.3"/>
    <row r="116" s="334" customFormat="1" x14ac:dyDescent="0.3"/>
    <row r="117" s="334" customFormat="1" x14ac:dyDescent="0.3"/>
    <row r="118" s="334" customFormat="1" x14ac:dyDescent="0.3"/>
    <row r="119" s="334" customFormat="1" x14ac:dyDescent="0.3"/>
    <row r="120" s="334" customFormat="1" x14ac:dyDescent="0.3"/>
    <row r="121" s="334" customFormat="1" x14ac:dyDescent="0.3"/>
    <row r="122" s="334" customFormat="1" x14ac:dyDescent="0.3"/>
    <row r="123" s="334" customFormat="1" x14ac:dyDescent="0.3"/>
    <row r="124" s="334" customFormat="1" x14ac:dyDescent="0.3"/>
    <row r="125" s="334" customFormat="1" x14ac:dyDescent="0.3"/>
    <row r="126" s="334" customFormat="1" x14ac:dyDescent="0.3"/>
    <row r="127" s="334" customFormat="1" x14ac:dyDescent="0.3"/>
    <row r="128" s="334" customFormat="1" x14ac:dyDescent="0.3"/>
    <row r="129" s="334" customFormat="1" x14ac:dyDescent="0.3"/>
    <row r="130" s="334" customFormat="1" x14ac:dyDescent="0.3"/>
    <row r="131" s="334" customFormat="1" x14ac:dyDescent="0.3"/>
    <row r="132" s="334" customFormat="1" x14ac:dyDescent="0.3"/>
    <row r="133" s="334" customFormat="1" x14ac:dyDescent="0.3"/>
    <row r="134" s="334" customFormat="1" x14ac:dyDescent="0.3"/>
    <row r="135" s="334" customFormat="1" x14ac:dyDescent="0.3"/>
    <row r="136" s="334" customFormat="1" x14ac:dyDescent="0.3"/>
    <row r="137" s="334" customFormat="1" x14ac:dyDescent="0.3"/>
    <row r="138" s="334" customFormat="1" x14ac:dyDescent="0.3"/>
    <row r="139" s="334" customFormat="1" x14ac:dyDescent="0.3"/>
    <row r="140" s="334" customFormat="1" x14ac:dyDescent="0.3"/>
    <row r="141" s="334" customFormat="1" x14ac:dyDescent="0.3"/>
    <row r="142" s="334" customFormat="1" x14ac:dyDescent="0.3"/>
    <row r="143" s="334" customFormat="1" x14ac:dyDescent="0.3"/>
    <row r="144" s="334" customFormat="1" x14ac:dyDescent="0.3"/>
    <row r="145" s="334" customFormat="1" x14ac:dyDescent="0.3"/>
    <row r="146" s="334" customFormat="1" x14ac:dyDescent="0.3"/>
    <row r="147" s="334" customFormat="1" x14ac:dyDescent="0.3"/>
    <row r="148" s="334" customFormat="1" x14ac:dyDescent="0.3"/>
    <row r="149" s="334" customFormat="1" x14ac:dyDescent="0.3"/>
    <row r="150" s="334" customFormat="1" x14ac:dyDescent="0.3"/>
  </sheetData>
  <sheetProtection algorithmName="SHA-512" hashValue="gUmbtqtchdCoChRrnxIuVSEHxdgvR2C48tgzIcE39H5GwLuvBJpO0HvsJUmEPLyxov7jNe8cArtnpn/iKbfDRw==" saltValue="FaBhAGFVduakMnKcgBQioA==" spinCount="100000" sheet="1" objects="1" scenarios="1"/>
  <mergeCells count="12">
    <mergeCell ref="A2:F2"/>
    <mergeCell ref="A3:F3"/>
    <mergeCell ref="A4:F4"/>
    <mergeCell ref="B8:C8"/>
    <mergeCell ref="B10:C10"/>
    <mergeCell ref="H6:K6"/>
    <mergeCell ref="M6:P6"/>
    <mergeCell ref="M7:P7"/>
    <mergeCell ref="H7:K7"/>
    <mergeCell ref="A81:A83"/>
    <mergeCell ref="C20:F20"/>
    <mergeCell ref="C28:F28"/>
  </mergeCells>
  <hyperlinks>
    <hyperlink ref="D6" r:id="rId1"/>
  </hyperlinks>
  <pageMargins left="0.7" right="0.7" top="0.75" bottom="0.75" header="0.3" footer="0.3"/>
  <pageSetup orientation="portrait" horizontalDpi="4294967293" verticalDpi="4294967293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0"/>
  <sheetViews>
    <sheetView workbookViewId="0"/>
  </sheetViews>
  <sheetFormatPr defaultRowHeight="14.4" x14ac:dyDescent="0.3"/>
  <cols>
    <col min="1" max="1" width="13.21875" customWidth="1"/>
    <col min="3" max="3" width="45.44140625" customWidth="1"/>
    <col min="4" max="6" width="18.77734375" customWidth="1"/>
    <col min="7" max="7" width="1.77734375" style="11" customWidth="1"/>
    <col min="8" max="8" width="12.21875" customWidth="1"/>
    <col min="9" max="9" width="7.77734375" customWidth="1"/>
    <col min="10" max="10" width="8.88671875" customWidth="1"/>
    <col min="11" max="11" width="7.44140625" customWidth="1"/>
    <col min="12" max="12" width="1.77734375" customWidth="1"/>
    <col min="13" max="13" width="12.21875" customWidth="1"/>
    <col min="14" max="14" width="7.77734375" customWidth="1"/>
    <col min="15" max="15" width="8.88671875" customWidth="1"/>
    <col min="16" max="16" width="7.44140625" customWidth="1"/>
    <col min="17" max="26" width="9.109375" style="334"/>
  </cols>
  <sheetData>
    <row r="1" spans="1:16" ht="28.8" x14ac:dyDescent="0.3">
      <c r="A1" s="5" t="s">
        <v>26</v>
      </c>
      <c r="B1" s="398">
        <f>+'NBCS Financial Report'!B8:C8</f>
        <v>0</v>
      </c>
      <c r="C1" s="398"/>
      <c r="D1" s="232" t="s">
        <v>25</v>
      </c>
      <c r="E1" s="234">
        <f>+'NBCS Financial Report'!E8</f>
        <v>0</v>
      </c>
      <c r="F1" s="6"/>
      <c r="G1" s="14"/>
      <c r="H1" s="390" t="s">
        <v>462</v>
      </c>
      <c r="I1" s="390"/>
      <c r="J1" s="390"/>
      <c r="K1" s="390"/>
      <c r="M1" s="390" t="s">
        <v>461</v>
      </c>
      <c r="N1" s="390"/>
      <c r="O1" s="390"/>
      <c r="P1" s="390"/>
    </row>
    <row r="2" spans="1:16" ht="43.2" x14ac:dyDescent="0.3">
      <c r="A2" s="5" t="s">
        <v>0</v>
      </c>
      <c r="B2" s="400" t="s">
        <v>1</v>
      </c>
      <c r="C2" s="400"/>
      <c r="D2" s="9" t="s">
        <v>2</v>
      </c>
      <c r="E2" s="9" t="s">
        <v>3</v>
      </c>
      <c r="F2" s="9" t="s">
        <v>4</v>
      </c>
      <c r="G2" s="29"/>
      <c r="H2" s="231" t="s">
        <v>265</v>
      </c>
      <c r="I2" s="30" t="s">
        <v>87</v>
      </c>
      <c r="J2" s="30" t="s">
        <v>88</v>
      </c>
      <c r="K2" s="30" t="s">
        <v>86</v>
      </c>
      <c r="M2" s="272" t="s">
        <v>265</v>
      </c>
      <c r="N2" s="30" t="s">
        <v>87</v>
      </c>
      <c r="O2" s="30" t="s">
        <v>88</v>
      </c>
      <c r="P2" s="30" t="s">
        <v>86</v>
      </c>
    </row>
    <row r="3" spans="1:16" ht="18" x14ac:dyDescent="0.35">
      <c r="A3" s="405" t="s">
        <v>167</v>
      </c>
      <c r="B3" s="406"/>
      <c r="C3" s="406"/>
      <c r="D3" s="406"/>
      <c r="E3" s="406"/>
      <c r="F3" s="407"/>
      <c r="G3" s="32"/>
      <c r="H3" s="81"/>
      <c r="I3" s="81"/>
      <c r="J3" s="81"/>
      <c r="K3" s="81"/>
      <c r="M3" s="104">
        <v>74</v>
      </c>
      <c r="N3" s="104">
        <v>6</v>
      </c>
      <c r="O3" t="s">
        <v>446</v>
      </c>
      <c r="P3" s="104">
        <v>1</v>
      </c>
    </row>
    <row r="4" spans="1:16" ht="15.6" x14ac:dyDescent="0.3">
      <c r="A4" s="69" t="s">
        <v>166</v>
      </c>
      <c r="B4" s="2"/>
      <c r="C4" s="72" t="s">
        <v>235</v>
      </c>
      <c r="D4" s="89"/>
      <c r="E4" s="89"/>
      <c r="F4" s="90"/>
      <c r="G4" s="28"/>
      <c r="H4" s="104">
        <v>62</v>
      </c>
      <c r="I4" s="104">
        <v>5</v>
      </c>
      <c r="J4" s="104" t="s">
        <v>89</v>
      </c>
      <c r="K4" s="104">
        <v>1</v>
      </c>
      <c r="M4" s="104">
        <v>74</v>
      </c>
      <c r="N4" s="104">
        <v>6</v>
      </c>
      <c r="O4" t="s">
        <v>446</v>
      </c>
      <c r="P4" s="104">
        <v>1</v>
      </c>
    </row>
    <row r="5" spans="1:16" ht="15.6" x14ac:dyDescent="0.3">
      <c r="A5" s="73"/>
      <c r="B5" s="44"/>
      <c r="C5" s="408" t="s">
        <v>165</v>
      </c>
      <c r="D5" s="408"/>
      <c r="E5" s="408"/>
      <c r="F5" s="409"/>
      <c r="G5" s="28"/>
      <c r="H5" s="104">
        <v>62</v>
      </c>
      <c r="I5" s="104">
        <v>5</v>
      </c>
      <c r="J5" s="104" t="s">
        <v>89</v>
      </c>
      <c r="K5" s="104">
        <v>1</v>
      </c>
    </row>
    <row r="6" spans="1:16" x14ac:dyDescent="0.3">
      <c r="A6" s="74"/>
      <c r="B6" s="114" t="s">
        <v>388</v>
      </c>
      <c r="C6" s="2" t="s">
        <v>5</v>
      </c>
      <c r="D6" s="116"/>
      <c r="E6" s="116"/>
      <c r="F6" s="116"/>
      <c r="G6" s="28"/>
      <c r="H6" s="104">
        <v>62</v>
      </c>
      <c r="I6" s="104">
        <v>5</v>
      </c>
      <c r="J6" s="104" t="s">
        <v>89</v>
      </c>
      <c r="K6" s="104">
        <v>1</v>
      </c>
    </row>
    <row r="7" spans="1:16" x14ac:dyDescent="0.3">
      <c r="A7" s="61"/>
      <c r="B7" s="70"/>
      <c r="C7" s="8" t="s">
        <v>6</v>
      </c>
      <c r="D7" s="117"/>
      <c r="E7" s="117"/>
      <c r="F7" s="117"/>
      <c r="G7" s="28"/>
      <c r="H7" s="332"/>
      <c r="I7" s="332"/>
      <c r="J7" s="332"/>
      <c r="K7" s="332"/>
      <c r="L7" s="320"/>
      <c r="M7" s="320"/>
      <c r="N7" s="320"/>
      <c r="O7" s="320"/>
      <c r="P7" s="320"/>
    </row>
    <row r="8" spans="1:16" x14ac:dyDescent="0.3">
      <c r="A8" s="74"/>
      <c r="B8" s="114" t="s">
        <v>389</v>
      </c>
      <c r="C8" s="2" t="s">
        <v>7</v>
      </c>
      <c r="D8" s="116"/>
      <c r="E8" s="116"/>
      <c r="F8" s="116"/>
      <c r="G8" s="28"/>
      <c r="H8" s="104">
        <v>62</v>
      </c>
      <c r="I8" s="104">
        <v>5</v>
      </c>
      <c r="J8" s="104" t="s">
        <v>89</v>
      </c>
      <c r="K8" s="104">
        <v>1</v>
      </c>
    </row>
    <row r="9" spans="1:16" x14ac:dyDescent="0.3">
      <c r="A9" s="74"/>
      <c r="B9" s="114" t="s">
        <v>390</v>
      </c>
      <c r="C9" s="8" t="s">
        <v>8</v>
      </c>
      <c r="D9" s="117"/>
      <c r="E9" s="117"/>
      <c r="F9" s="117"/>
      <c r="G9" s="28"/>
      <c r="H9" s="276">
        <v>62</v>
      </c>
      <c r="I9" s="276">
        <v>5</v>
      </c>
      <c r="J9" s="276" t="s">
        <v>89</v>
      </c>
      <c r="K9" s="276">
        <v>1</v>
      </c>
      <c r="L9" s="10"/>
      <c r="M9" s="10"/>
      <c r="N9" s="10"/>
      <c r="O9" s="10"/>
      <c r="P9" s="10"/>
    </row>
    <row r="10" spans="1:16" x14ac:dyDescent="0.3">
      <c r="A10" s="74"/>
      <c r="B10" s="114" t="s">
        <v>391</v>
      </c>
      <c r="C10" s="2" t="s">
        <v>9</v>
      </c>
      <c r="D10" s="116"/>
      <c r="E10" s="116"/>
      <c r="F10" s="116"/>
      <c r="G10" s="28"/>
      <c r="H10" s="104">
        <v>62</v>
      </c>
      <c r="I10" s="104">
        <v>5</v>
      </c>
      <c r="J10" s="104" t="s">
        <v>89</v>
      </c>
      <c r="K10" s="104">
        <v>1</v>
      </c>
    </row>
    <row r="11" spans="1:16" x14ac:dyDescent="0.3">
      <c r="A11" s="74"/>
      <c r="B11" s="114" t="s">
        <v>392</v>
      </c>
      <c r="C11" s="8" t="s">
        <v>10</v>
      </c>
      <c r="D11" s="117"/>
      <c r="E11" s="117"/>
      <c r="F11" s="117"/>
      <c r="G11" s="28"/>
      <c r="H11" s="276">
        <v>62</v>
      </c>
      <c r="I11" s="276">
        <v>5</v>
      </c>
      <c r="J11" s="276" t="s">
        <v>89</v>
      </c>
      <c r="K11" s="276">
        <v>1</v>
      </c>
      <c r="L11" s="10"/>
      <c r="M11" s="10"/>
      <c r="N11" s="10"/>
      <c r="O11" s="10"/>
      <c r="P11" s="10"/>
    </row>
    <row r="12" spans="1:16" x14ac:dyDescent="0.3">
      <c r="A12" s="61"/>
      <c r="B12" s="71"/>
      <c r="C12" s="4" t="s">
        <v>387</v>
      </c>
      <c r="D12" s="118"/>
      <c r="E12" s="118"/>
      <c r="F12" s="118"/>
      <c r="G12" s="28"/>
      <c r="H12" s="331"/>
      <c r="I12" s="331"/>
      <c r="J12" s="331"/>
      <c r="K12" s="331"/>
      <c r="L12" s="334"/>
      <c r="M12" s="334"/>
      <c r="N12" s="334"/>
      <c r="O12" s="334"/>
      <c r="P12" s="334"/>
    </row>
    <row r="13" spans="1:16" ht="15.6" x14ac:dyDescent="0.3">
      <c r="A13" s="69" t="s">
        <v>169</v>
      </c>
      <c r="C13" s="21" t="s">
        <v>15</v>
      </c>
      <c r="D13" s="119"/>
      <c r="E13" s="119"/>
      <c r="F13" s="119"/>
      <c r="G13" s="28"/>
      <c r="H13" s="104">
        <v>63</v>
      </c>
      <c r="I13" s="104">
        <v>5</v>
      </c>
      <c r="J13" s="104" t="s">
        <v>89</v>
      </c>
      <c r="K13" s="104">
        <v>2</v>
      </c>
      <c r="M13" s="104">
        <v>74</v>
      </c>
      <c r="N13" s="104">
        <v>6</v>
      </c>
      <c r="O13" t="s">
        <v>446</v>
      </c>
      <c r="P13" s="104">
        <v>1</v>
      </c>
    </row>
    <row r="14" spans="1:16" x14ac:dyDescent="0.3">
      <c r="A14" s="75"/>
      <c r="B14" s="67" t="s">
        <v>168</v>
      </c>
      <c r="C14" s="2" t="s">
        <v>11</v>
      </c>
      <c r="D14" s="116"/>
      <c r="E14" s="116"/>
      <c r="F14" s="116"/>
      <c r="G14" s="28"/>
      <c r="H14" s="104">
        <v>63</v>
      </c>
      <c r="I14" s="104">
        <v>5</v>
      </c>
      <c r="J14" s="104" t="s">
        <v>89</v>
      </c>
      <c r="K14" s="104">
        <v>2</v>
      </c>
    </row>
    <row r="15" spans="1:16" x14ac:dyDescent="0.3">
      <c r="A15" s="61"/>
      <c r="B15" s="68" t="s">
        <v>170</v>
      </c>
      <c r="C15" s="8" t="s">
        <v>12</v>
      </c>
      <c r="D15" s="117"/>
      <c r="E15" s="117"/>
      <c r="F15" s="117"/>
      <c r="G15" s="28"/>
      <c r="H15" s="276">
        <v>63</v>
      </c>
      <c r="I15" s="276">
        <v>5</v>
      </c>
      <c r="J15" s="276" t="s">
        <v>89</v>
      </c>
      <c r="K15" s="276">
        <v>2</v>
      </c>
      <c r="L15" s="10"/>
      <c r="M15" s="10"/>
      <c r="N15" s="10"/>
      <c r="O15" s="10"/>
      <c r="P15" s="10"/>
    </row>
    <row r="16" spans="1:16" x14ac:dyDescent="0.3">
      <c r="A16" s="61"/>
      <c r="B16" s="67" t="s">
        <v>171</v>
      </c>
      <c r="C16" s="2" t="s">
        <v>13</v>
      </c>
      <c r="D16" s="116"/>
      <c r="E16" s="116"/>
      <c r="F16" s="116"/>
      <c r="G16" s="28"/>
      <c r="H16" s="104">
        <v>63</v>
      </c>
      <c r="I16" s="104">
        <v>5</v>
      </c>
      <c r="J16" s="104" t="s">
        <v>89</v>
      </c>
      <c r="K16" s="104">
        <v>2</v>
      </c>
    </row>
    <row r="17" spans="1:16" x14ac:dyDescent="0.3">
      <c r="A17" s="61"/>
      <c r="B17" s="68" t="s">
        <v>172</v>
      </c>
      <c r="C17" s="8" t="s">
        <v>14</v>
      </c>
      <c r="D17" s="117"/>
      <c r="E17" s="117"/>
      <c r="F17" s="117"/>
      <c r="G17" s="28"/>
      <c r="H17" s="276">
        <v>63</v>
      </c>
      <c r="I17" s="276">
        <v>5</v>
      </c>
      <c r="J17" s="276" t="s">
        <v>89</v>
      </c>
      <c r="K17" s="276">
        <v>2</v>
      </c>
      <c r="L17" s="10"/>
      <c r="M17" s="10"/>
      <c r="N17" s="10"/>
      <c r="O17" s="10"/>
      <c r="P17" s="10"/>
    </row>
    <row r="18" spans="1:16" x14ac:dyDescent="0.3">
      <c r="A18" s="61"/>
      <c r="B18" s="71"/>
      <c r="C18" s="4" t="s">
        <v>173</v>
      </c>
      <c r="D18" s="118"/>
      <c r="E18" s="118"/>
      <c r="F18" s="118"/>
      <c r="G18" s="28"/>
      <c r="H18" s="331"/>
      <c r="I18" s="331"/>
      <c r="J18" s="331"/>
      <c r="K18" s="331"/>
      <c r="L18" s="334"/>
      <c r="M18" s="334"/>
      <c r="N18" s="334"/>
      <c r="O18" s="334"/>
      <c r="P18" s="334"/>
    </row>
    <row r="19" spans="1:16" ht="15.6" x14ac:dyDescent="0.3">
      <c r="A19" s="69" t="s">
        <v>174</v>
      </c>
      <c r="C19" s="21" t="s">
        <v>18</v>
      </c>
      <c r="D19" s="116"/>
      <c r="E19" s="116"/>
      <c r="F19" s="116"/>
      <c r="G19" s="28"/>
      <c r="H19" s="104">
        <v>63</v>
      </c>
      <c r="I19" s="104">
        <v>5</v>
      </c>
      <c r="J19" s="104" t="s">
        <v>89</v>
      </c>
      <c r="K19" s="104">
        <v>2</v>
      </c>
      <c r="M19" s="104">
        <v>74</v>
      </c>
      <c r="N19" s="104">
        <v>6</v>
      </c>
      <c r="O19" t="s">
        <v>446</v>
      </c>
      <c r="P19" s="104">
        <v>1</v>
      </c>
    </row>
    <row r="20" spans="1:16" ht="15.6" x14ac:dyDescent="0.3">
      <c r="A20" s="76" t="s">
        <v>176</v>
      </c>
      <c r="B20" s="10"/>
      <c r="C20" s="22" t="s">
        <v>177</v>
      </c>
      <c r="D20" s="117"/>
      <c r="E20" s="117"/>
      <c r="F20" s="117"/>
      <c r="G20" s="28"/>
      <c r="H20" s="276">
        <v>63</v>
      </c>
      <c r="I20" s="276">
        <v>5</v>
      </c>
      <c r="J20" s="276" t="s">
        <v>89</v>
      </c>
      <c r="K20" s="276">
        <v>2</v>
      </c>
      <c r="L20" s="10"/>
      <c r="M20" s="276">
        <v>74</v>
      </c>
      <c r="N20" s="276">
        <v>6</v>
      </c>
      <c r="O20" s="10" t="s">
        <v>446</v>
      </c>
      <c r="P20" s="276">
        <v>1</v>
      </c>
    </row>
    <row r="21" spans="1:16" ht="15.6" x14ac:dyDescent="0.3">
      <c r="A21" s="77" t="s">
        <v>179</v>
      </c>
      <c r="C21" s="23" t="s">
        <v>180</v>
      </c>
      <c r="D21" s="120"/>
      <c r="E21" s="120"/>
      <c r="F21" s="120"/>
      <c r="G21" s="28"/>
      <c r="H21" s="104">
        <v>63</v>
      </c>
      <c r="I21" s="104">
        <v>5</v>
      </c>
      <c r="J21" s="104" t="s">
        <v>89</v>
      </c>
      <c r="K21" s="104">
        <v>2</v>
      </c>
      <c r="M21" s="104">
        <v>74</v>
      </c>
      <c r="N21" s="104">
        <v>6</v>
      </c>
      <c r="O21" t="s">
        <v>446</v>
      </c>
      <c r="P21" s="104">
        <v>1</v>
      </c>
    </row>
    <row r="22" spans="1:16" ht="15.6" x14ac:dyDescent="0.3">
      <c r="A22" s="76" t="s">
        <v>181</v>
      </c>
      <c r="B22" s="10"/>
      <c r="C22" s="22" t="s">
        <v>182</v>
      </c>
      <c r="D22" s="117"/>
      <c r="E22" s="117"/>
      <c r="F22" s="117"/>
      <c r="G22" s="28"/>
      <c r="H22" s="276">
        <v>63</v>
      </c>
      <c r="I22" s="276">
        <v>5</v>
      </c>
      <c r="J22" s="276" t="s">
        <v>89</v>
      </c>
      <c r="K22" s="276">
        <v>2</v>
      </c>
      <c r="L22" s="10"/>
      <c r="M22" s="10"/>
      <c r="N22" s="10"/>
      <c r="O22" s="10"/>
      <c r="P22" s="10"/>
    </row>
    <row r="23" spans="1:16" ht="15.6" x14ac:dyDescent="0.3">
      <c r="A23" s="69" t="s">
        <v>175</v>
      </c>
      <c r="C23" s="21" t="s">
        <v>16</v>
      </c>
      <c r="D23" s="116"/>
      <c r="E23" s="116"/>
      <c r="F23" s="116"/>
      <c r="G23" s="28"/>
      <c r="H23" s="104">
        <v>63</v>
      </c>
      <c r="I23" s="104">
        <v>5</v>
      </c>
      <c r="J23" s="104" t="s">
        <v>89</v>
      </c>
      <c r="K23" s="104">
        <v>2</v>
      </c>
      <c r="M23" s="104">
        <v>74</v>
      </c>
      <c r="N23" s="104">
        <v>6</v>
      </c>
      <c r="O23" t="s">
        <v>446</v>
      </c>
      <c r="P23" s="104">
        <v>1</v>
      </c>
    </row>
    <row r="24" spans="1:16" ht="15.6" x14ac:dyDescent="0.3">
      <c r="A24" s="76" t="s">
        <v>183</v>
      </c>
      <c r="B24" s="10"/>
      <c r="C24" s="22" t="s">
        <v>184</v>
      </c>
      <c r="D24" s="117"/>
      <c r="E24" s="117"/>
      <c r="F24" s="117"/>
      <c r="G24" s="28"/>
      <c r="H24" s="276">
        <v>63</v>
      </c>
      <c r="I24" s="276">
        <v>5</v>
      </c>
      <c r="J24" s="276" t="s">
        <v>89</v>
      </c>
      <c r="K24" s="276">
        <v>2</v>
      </c>
      <c r="L24" s="10"/>
      <c r="M24" s="276">
        <v>75</v>
      </c>
      <c r="N24" s="276">
        <v>6</v>
      </c>
      <c r="O24" s="10" t="s">
        <v>446</v>
      </c>
      <c r="P24" s="276">
        <v>2</v>
      </c>
    </row>
    <row r="25" spans="1:16" ht="15.6" x14ac:dyDescent="0.3">
      <c r="A25" s="77" t="s">
        <v>178</v>
      </c>
      <c r="C25" s="23" t="s">
        <v>17</v>
      </c>
      <c r="D25" s="120"/>
      <c r="E25" s="120"/>
      <c r="F25" s="120"/>
      <c r="G25" s="28"/>
      <c r="H25" s="104">
        <v>63</v>
      </c>
      <c r="I25" s="104">
        <v>5</v>
      </c>
      <c r="J25" s="104" t="s">
        <v>89</v>
      </c>
      <c r="K25" s="104">
        <v>2</v>
      </c>
      <c r="M25" s="104">
        <v>75</v>
      </c>
      <c r="N25" s="104">
        <v>6</v>
      </c>
      <c r="O25" t="s">
        <v>446</v>
      </c>
      <c r="P25" s="104">
        <v>2</v>
      </c>
    </row>
    <row r="26" spans="1:16" ht="15.6" x14ac:dyDescent="0.3">
      <c r="A26" s="76" t="s">
        <v>185</v>
      </c>
      <c r="B26" s="10"/>
      <c r="C26" s="22" t="s">
        <v>186</v>
      </c>
      <c r="D26" s="117"/>
      <c r="E26" s="117"/>
      <c r="F26" s="117"/>
      <c r="G26" s="28"/>
      <c r="H26" s="276">
        <v>63</v>
      </c>
      <c r="I26" s="276">
        <v>5</v>
      </c>
      <c r="J26" s="276" t="s">
        <v>89</v>
      </c>
      <c r="K26" s="276">
        <v>2</v>
      </c>
      <c r="L26" s="10"/>
      <c r="M26" s="10"/>
      <c r="N26" s="10"/>
      <c r="O26" s="10"/>
      <c r="P26" s="10"/>
    </row>
    <row r="27" spans="1:16" ht="15.6" x14ac:dyDescent="0.3">
      <c r="A27" s="85"/>
      <c r="B27" s="44"/>
      <c r="C27" s="23" t="s">
        <v>208</v>
      </c>
      <c r="D27" s="120"/>
      <c r="E27" s="120"/>
      <c r="F27" s="120"/>
      <c r="G27" s="28"/>
      <c r="H27" s="331"/>
      <c r="I27" s="331"/>
      <c r="J27" s="331"/>
      <c r="K27" s="331"/>
      <c r="L27" s="334"/>
      <c r="M27" s="334"/>
      <c r="N27" s="334"/>
      <c r="O27" s="334"/>
      <c r="P27" s="334"/>
    </row>
    <row r="28" spans="1:16" ht="15.6" x14ac:dyDescent="0.3">
      <c r="A28" s="85"/>
      <c r="B28" s="44"/>
      <c r="C28" s="115" t="s">
        <v>393</v>
      </c>
      <c r="D28" s="121">
        <f>SUM(D6:D27)</f>
        <v>0</v>
      </c>
      <c r="E28" s="121">
        <f t="shared" ref="E28:F28" si="0">SUM(E6:E27)</f>
        <v>0</v>
      </c>
      <c r="F28" s="121">
        <f t="shared" si="0"/>
        <v>0</v>
      </c>
      <c r="G28" s="28"/>
      <c r="H28" s="331"/>
      <c r="I28" s="331"/>
      <c r="J28" s="331"/>
      <c r="K28" s="331"/>
      <c r="L28" s="334"/>
      <c r="M28" s="334"/>
      <c r="N28" s="334"/>
      <c r="O28" s="334"/>
      <c r="P28" s="334"/>
    </row>
    <row r="29" spans="1:16" ht="18" x14ac:dyDescent="0.35">
      <c r="A29" s="405" t="s">
        <v>187</v>
      </c>
      <c r="B29" s="406"/>
      <c r="C29" s="406"/>
      <c r="D29" s="406"/>
      <c r="E29" s="406"/>
      <c r="F29" s="407"/>
      <c r="G29" s="32"/>
      <c r="H29" s="344"/>
      <c r="I29" s="344"/>
      <c r="J29" s="344"/>
      <c r="K29" s="344"/>
      <c r="M29" s="104">
        <v>75</v>
      </c>
      <c r="N29" s="104">
        <v>6</v>
      </c>
      <c r="O29" t="s">
        <v>446</v>
      </c>
      <c r="P29" s="104">
        <v>2</v>
      </c>
    </row>
    <row r="30" spans="1:16" ht="15.6" x14ac:dyDescent="0.3">
      <c r="A30" s="76" t="s">
        <v>188</v>
      </c>
      <c r="B30" s="10"/>
      <c r="C30" s="78" t="s">
        <v>19</v>
      </c>
      <c r="D30" s="117"/>
      <c r="E30" s="117"/>
      <c r="F30" s="117"/>
      <c r="G30" s="28"/>
      <c r="H30" s="276">
        <v>63</v>
      </c>
      <c r="I30" s="276">
        <v>5</v>
      </c>
      <c r="J30" s="276" t="s">
        <v>89</v>
      </c>
      <c r="K30" s="276">
        <v>2</v>
      </c>
      <c r="L30" s="10"/>
      <c r="M30" s="276">
        <v>75</v>
      </c>
      <c r="N30" s="276">
        <v>6</v>
      </c>
      <c r="O30" s="10" t="s">
        <v>446</v>
      </c>
      <c r="P30" s="276">
        <v>2</v>
      </c>
    </row>
    <row r="31" spans="1:16" ht="15.6" x14ac:dyDescent="0.3">
      <c r="A31" s="77" t="s">
        <v>189</v>
      </c>
      <c r="C31" s="54" t="s">
        <v>20</v>
      </c>
      <c r="D31" s="120"/>
      <c r="E31" s="120"/>
      <c r="F31" s="120"/>
      <c r="G31" s="28"/>
      <c r="H31" s="104">
        <v>63</v>
      </c>
      <c r="I31" s="104">
        <v>5</v>
      </c>
      <c r="J31" s="104" t="s">
        <v>89</v>
      </c>
      <c r="K31" s="104">
        <v>2</v>
      </c>
      <c r="M31" s="104">
        <v>75</v>
      </c>
      <c r="N31" s="104">
        <v>6</v>
      </c>
      <c r="O31" t="s">
        <v>446</v>
      </c>
      <c r="P31" s="104">
        <v>2</v>
      </c>
    </row>
    <row r="32" spans="1:16" ht="15.6" x14ac:dyDescent="0.3">
      <c r="A32" s="76" t="s">
        <v>199</v>
      </c>
      <c r="B32" s="10"/>
      <c r="C32" s="78" t="s">
        <v>190</v>
      </c>
      <c r="D32" s="117"/>
      <c r="E32" s="117"/>
      <c r="F32" s="117"/>
      <c r="G32" s="28"/>
      <c r="H32" s="276">
        <v>63</v>
      </c>
      <c r="I32" s="276">
        <v>5</v>
      </c>
      <c r="J32" s="276" t="s">
        <v>89</v>
      </c>
      <c r="K32" s="276">
        <v>2</v>
      </c>
      <c r="L32" s="10"/>
      <c r="M32" s="10"/>
      <c r="N32" s="10"/>
      <c r="O32" s="10"/>
      <c r="P32" s="10"/>
    </row>
    <row r="33" spans="1:16" ht="15.6" x14ac:dyDescent="0.3">
      <c r="A33" s="77" t="s">
        <v>191</v>
      </c>
      <c r="C33" s="54" t="s">
        <v>21</v>
      </c>
      <c r="D33" s="119"/>
      <c r="E33" s="119"/>
      <c r="F33" s="119"/>
      <c r="G33" s="28"/>
      <c r="H33" s="104">
        <v>64</v>
      </c>
      <c r="I33" s="104">
        <v>5</v>
      </c>
      <c r="J33" s="104" t="s">
        <v>89</v>
      </c>
      <c r="K33" s="104">
        <v>3</v>
      </c>
      <c r="M33" s="104">
        <v>75</v>
      </c>
      <c r="N33" s="104">
        <v>6</v>
      </c>
      <c r="O33" t="s">
        <v>446</v>
      </c>
      <c r="P33" s="104">
        <v>2</v>
      </c>
    </row>
    <row r="34" spans="1:16" x14ac:dyDescent="0.3">
      <c r="A34" s="61"/>
      <c r="B34" s="79" t="s">
        <v>193</v>
      </c>
      <c r="C34" s="2" t="s">
        <v>464</v>
      </c>
      <c r="D34" s="116"/>
      <c r="E34" s="116"/>
      <c r="F34" s="116"/>
      <c r="G34" s="28"/>
      <c r="H34" s="104">
        <v>64</v>
      </c>
      <c r="I34" s="104">
        <v>5</v>
      </c>
      <c r="J34" s="104" t="s">
        <v>89</v>
      </c>
      <c r="K34" s="104">
        <v>3</v>
      </c>
    </row>
    <row r="35" spans="1:16" x14ac:dyDescent="0.3">
      <c r="A35" s="61"/>
      <c r="B35" s="79" t="s">
        <v>194</v>
      </c>
      <c r="C35" s="8" t="s">
        <v>22</v>
      </c>
      <c r="D35" s="117"/>
      <c r="E35" s="117"/>
      <c r="F35" s="117"/>
      <c r="G35" s="28"/>
      <c r="H35" s="276">
        <v>64</v>
      </c>
      <c r="I35" s="276">
        <v>5</v>
      </c>
      <c r="J35" s="276" t="s">
        <v>89</v>
      </c>
      <c r="K35" s="276">
        <v>3</v>
      </c>
      <c r="L35" s="10"/>
      <c r="M35" s="10"/>
      <c r="N35" s="10"/>
      <c r="O35" s="10"/>
      <c r="P35" s="10"/>
    </row>
    <row r="36" spans="1:16" x14ac:dyDescent="0.3">
      <c r="A36" s="61"/>
      <c r="B36" s="79" t="s">
        <v>195</v>
      </c>
      <c r="C36" s="2" t="s">
        <v>192</v>
      </c>
      <c r="D36" s="116"/>
      <c r="E36" s="116"/>
      <c r="F36" s="116"/>
      <c r="G36" s="28"/>
      <c r="H36" s="104">
        <v>64</v>
      </c>
      <c r="I36" s="104">
        <v>5</v>
      </c>
      <c r="J36" s="104" t="s">
        <v>89</v>
      </c>
      <c r="K36" s="104">
        <v>3</v>
      </c>
    </row>
    <row r="37" spans="1:16" x14ac:dyDescent="0.3">
      <c r="A37" s="61"/>
      <c r="B37" s="79" t="s">
        <v>196</v>
      </c>
      <c r="C37" s="8" t="s">
        <v>23</v>
      </c>
      <c r="D37" s="117"/>
      <c r="E37" s="117"/>
      <c r="F37" s="117"/>
      <c r="G37" s="28"/>
      <c r="H37" s="276">
        <v>64</v>
      </c>
      <c r="I37" s="276">
        <v>5</v>
      </c>
      <c r="J37" s="276" t="s">
        <v>89</v>
      </c>
      <c r="K37" s="276">
        <v>3</v>
      </c>
      <c r="L37" s="10"/>
      <c r="M37" s="10"/>
      <c r="N37" s="10"/>
      <c r="O37" s="10"/>
      <c r="P37" s="10"/>
    </row>
    <row r="38" spans="1:16" x14ac:dyDescent="0.3">
      <c r="A38" s="61"/>
      <c r="B38" s="79" t="s">
        <v>197</v>
      </c>
      <c r="C38" s="2" t="s">
        <v>24</v>
      </c>
      <c r="D38" s="116"/>
      <c r="E38" s="116"/>
      <c r="F38" s="116"/>
      <c r="G38" s="28"/>
      <c r="H38" s="104">
        <v>64</v>
      </c>
      <c r="I38" s="104">
        <v>5</v>
      </c>
      <c r="J38" s="104" t="s">
        <v>89</v>
      </c>
      <c r="K38" s="104">
        <v>3</v>
      </c>
    </row>
    <row r="39" spans="1:16" x14ac:dyDescent="0.3">
      <c r="A39" s="61"/>
      <c r="B39" s="80"/>
      <c r="C39" s="4" t="s">
        <v>198</v>
      </c>
      <c r="D39" s="118"/>
      <c r="E39" s="118"/>
      <c r="F39" s="118"/>
      <c r="G39" s="28"/>
      <c r="H39" s="331"/>
      <c r="I39" s="331"/>
      <c r="J39" s="331"/>
      <c r="K39" s="331"/>
      <c r="L39" s="334"/>
      <c r="M39" s="334"/>
      <c r="N39" s="334"/>
      <c r="O39" s="334"/>
      <c r="P39" s="334"/>
    </row>
    <row r="40" spans="1:16" ht="15.6" x14ac:dyDescent="0.3">
      <c r="A40" s="77" t="s">
        <v>200</v>
      </c>
      <c r="C40" s="54" t="s">
        <v>15</v>
      </c>
      <c r="D40" s="119"/>
      <c r="E40" s="119"/>
      <c r="F40" s="119"/>
      <c r="G40" s="28"/>
      <c r="H40" s="104"/>
      <c r="I40" s="104"/>
      <c r="J40" s="104"/>
      <c r="K40" s="104"/>
      <c r="M40" s="104">
        <v>75</v>
      </c>
      <c r="N40" s="104">
        <v>6</v>
      </c>
      <c r="O40" t="s">
        <v>446</v>
      </c>
      <c r="P40" s="104">
        <v>2</v>
      </c>
    </row>
    <row r="41" spans="1:16" x14ac:dyDescent="0.3">
      <c r="A41" s="61"/>
      <c r="B41" s="82" t="s">
        <v>201</v>
      </c>
      <c r="C41" s="2" t="s">
        <v>27</v>
      </c>
      <c r="D41" s="116"/>
      <c r="E41" s="116"/>
      <c r="F41" s="116"/>
      <c r="G41" s="28"/>
      <c r="H41" s="104">
        <v>64</v>
      </c>
      <c r="I41" s="104">
        <v>5</v>
      </c>
      <c r="J41" s="104" t="s">
        <v>89</v>
      </c>
      <c r="K41" s="104">
        <v>3</v>
      </c>
    </row>
    <row r="42" spans="1:16" x14ac:dyDescent="0.3">
      <c r="A42" s="61"/>
      <c r="B42" s="83" t="s">
        <v>202</v>
      </c>
      <c r="C42" s="8" t="s">
        <v>203</v>
      </c>
      <c r="D42" s="117"/>
      <c r="E42" s="117"/>
      <c r="F42" s="117"/>
      <c r="G42" s="28"/>
      <c r="H42" s="276">
        <v>64</v>
      </c>
      <c r="I42" s="276">
        <v>5</v>
      </c>
      <c r="J42" s="276" t="s">
        <v>89</v>
      </c>
      <c r="K42" s="276">
        <v>3</v>
      </c>
      <c r="L42" s="10"/>
      <c r="M42" s="10"/>
      <c r="N42" s="10"/>
      <c r="O42" s="10"/>
      <c r="P42" s="10"/>
    </row>
    <row r="43" spans="1:16" x14ac:dyDescent="0.3">
      <c r="A43" s="61"/>
      <c r="B43" s="84"/>
      <c r="C43" s="14" t="s">
        <v>204</v>
      </c>
      <c r="D43" s="116"/>
      <c r="E43" s="116"/>
      <c r="F43" s="116"/>
      <c r="G43" s="28"/>
      <c r="H43" s="331"/>
      <c r="I43" s="331"/>
      <c r="J43" s="331"/>
      <c r="K43" s="331"/>
      <c r="L43" s="334"/>
      <c r="M43" s="334"/>
      <c r="N43" s="334"/>
      <c r="O43" s="334"/>
      <c r="P43" s="334"/>
    </row>
    <row r="44" spans="1:16" ht="15.6" x14ac:dyDescent="0.3">
      <c r="A44" s="76" t="s">
        <v>176</v>
      </c>
      <c r="B44" s="230"/>
      <c r="C44" s="78" t="s">
        <v>206</v>
      </c>
      <c r="D44" s="119"/>
      <c r="E44" s="119"/>
      <c r="F44" s="119"/>
      <c r="G44" s="28"/>
      <c r="H44" s="104">
        <v>64</v>
      </c>
      <c r="I44" s="104">
        <v>5</v>
      </c>
      <c r="J44" s="104" t="s">
        <v>89</v>
      </c>
      <c r="K44" s="104">
        <v>3</v>
      </c>
      <c r="M44" s="104">
        <v>75</v>
      </c>
      <c r="N44" s="104">
        <v>6</v>
      </c>
      <c r="O44" t="s">
        <v>446</v>
      </c>
      <c r="P44" s="104">
        <v>2</v>
      </c>
    </row>
    <row r="45" spans="1:16" ht="15.6" x14ac:dyDescent="0.3">
      <c r="A45" s="85"/>
      <c r="B45" s="79" t="s">
        <v>179</v>
      </c>
      <c r="C45" s="93" t="s">
        <v>205</v>
      </c>
      <c r="D45" s="120"/>
      <c r="E45" s="120"/>
      <c r="F45" s="120"/>
      <c r="G45" s="28"/>
      <c r="H45" s="276">
        <v>64</v>
      </c>
      <c r="I45" s="276">
        <v>5</v>
      </c>
      <c r="J45" s="276" t="s">
        <v>89</v>
      </c>
      <c r="K45" s="276">
        <v>3</v>
      </c>
      <c r="L45" s="10"/>
      <c r="M45" s="10"/>
      <c r="N45" s="10"/>
      <c r="O45" s="10"/>
      <c r="P45" s="10"/>
    </row>
    <row r="46" spans="1:16" ht="15.6" x14ac:dyDescent="0.3">
      <c r="A46" s="85"/>
      <c r="B46" s="73"/>
      <c r="C46" s="93" t="s">
        <v>207</v>
      </c>
      <c r="D46" s="120"/>
      <c r="E46" s="120"/>
      <c r="F46" s="120"/>
      <c r="G46" s="28"/>
      <c r="H46" s="331"/>
      <c r="I46" s="331"/>
      <c r="J46" s="331"/>
      <c r="K46" s="331"/>
      <c r="L46" s="334"/>
      <c r="M46" s="334"/>
      <c r="N46" s="334"/>
      <c r="O46" s="334"/>
      <c r="P46" s="334"/>
    </row>
    <row r="47" spans="1:16" ht="15.6" x14ac:dyDescent="0.3">
      <c r="A47" s="76" t="s">
        <v>181</v>
      </c>
      <c r="B47" s="230"/>
      <c r="C47" s="78" t="s">
        <v>209</v>
      </c>
      <c r="D47" s="119"/>
      <c r="E47" s="119"/>
      <c r="F47" s="119"/>
      <c r="G47" s="28"/>
      <c r="H47" s="104">
        <v>65</v>
      </c>
      <c r="I47" s="104">
        <v>5</v>
      </c>
      <c r="J47" s="104" t="s">
        <v>89</v>
      </c>
      <c r="K47" s="104">
        <v>4</v>
      </c>
      <c r="M47" s="104">
        <v>75</v>
      </c>
      <c r="N47" s="104">
        <v>6</v>
      </c>
      <c r="O47" t="s">
        <v>446</v>
      </c>
      <c r="P47" s="104">
        <v>2</v>
      </c>
    </row>
    <row r="48" spans="1:16" ht="15.6" x14ac:dyDescent="0.3">
      <c r="A48" s="85"/>
      <c r="B48" s="79" t="s">
        <v>210</v>
      </c>
      <c r="C48" s="93" t="s">
        <v>211</v>
      </c>
      <c r="D48" s="120"/>
      <c r="E48" s="120"/>
      <c r="F48" s="120"/>
      <c r="G48" s="28"/>
      <c r="H48" s="104">
        <v>65</v>
      </c>
      <c r="I48" s="104">
        <v>5</v>
      </c>
      <c r="J48" s="104" t="s">
        <v>89</v>
      </c>
      <c r="K48" s="104">
        <v>4</v>
      </c>
    </row>
    <row r="49" spans="1:16" ht="15.6" x14ac:dyDescent="0.3">
      <c r="A49" s="85"/>
      <c r="B49" s="91" t="s">
        <v>213</v>
      </c>
      <c r="C49" s="92" t="s">
        <v>212</v>
      </c>
      <c r="D49" s="117"/>
      <c r="E49" s="117"/>
      <c r="F49" s="117"/>
      <c r="G49" s="28"/>
      <c r="H49" s="276">
        <v>65</v>
      </c>
      <c r="I49" s="276">
        <v>5</v>
      </c>
      <c r="J49" s="276" t="s">
        <v>89</v>
      </c>
      <c r="K49" s="276">
        <v>4</v>
      </c>
      <c r="L49" s="10"/>
      <c r="M49" s="10"/>
      <c r="N49" s="10"/>
      <c r="O49" s="10"/>
      <c r="P49" s="10"/>
    </row>
    <row r="50" spans="1:16" ht="15.6" x14ac:dyDescent="0.3">
      <c r="A50" s="85"/>
      <c r="B50" s="79" t="s">
        <v>183</v>
      </c>
      <c r="C50" s="93" t="s">
        <v>215</v>
      </c>
      <c r="D50" s="120"/>
      <c r="E50" s="120"/>
      <c r="F50" s="120"/>
      <c r="G50" s="28"/>
      <c r="H50" s="104">
        <v>65</v>
      </c>
      <c r="I50" s="104">
        <v>5</v>
      </c>
      <c r="J50" s="104" t="s">
        <v>89</v>
      </c>
      <c r="K50" s="104">
        <v>4</v>
      </c>
    </row>
    <row r="51" spans="1:16" ht="15.6" x14ac:dyDescent="0.3">
      <c r="A51" s="85"/>
      <c r="B51" s="91" t="s">
        <v>178</v>
      </c>
      <c r="C51" s="92" t="s">
        <v>214</v>
      </c>
      <c r="D51" s="117"/>
      <c r="E51" s="117"/>
      <c r="F51" s="117"/>
      <c r="G51" s="28"/>
      <c r="H51" s="276">
        <v>65</v>
      </c>
      <c r="I51" s="276">
        <v>5</v>
      </c>
      <c r="J51" s="276" t="s">
        <v>89</v>
      </c>
      <c r="K51" s="276">
        <v>4</v>
      </c>
      <c r="L51" s="10"/>
      <c r="M51" s="10"/>
      <c r="N51" s="10"/>
      <c r="O51" s="10"/>
      <c r="P51" s="10"/>
    </row>
    <row r="52" spans="1:16" ht="15.6" x14ac:dyDescent="0.3">
      <c r="A52" s="85"/>
      <c r="B52" s="79" t="s">
        <v>216</v>
      </c>
      <c r="C52" s="93" t="s">
        <v>217</v>
      </c>
      <c r="D52" s="120"/>
      <c r="E52" s="120"/>
      <c r="F52" s="120"/>
      <c r="G52" s="28"/>
      <c r="H52" s="104">
        <v>65</v>
      </c>
      <c r="I52" s="104">
        <v>5</v>
      </c>
      <c r="J52" s="104" t="s">
        <v>89</v>
      </c>
      <c r="K52" s="104">
        <v>4</v>
      </c>
    </row>
    <row r="53" spans="1:16" ht="15.6" x14ac:dyDescent="0.3">
      <c r="A53" s="85"/>
      <c r="B53" s="113"/>
      <c r="C53" s="92" t="s">
        <v>218</v>
      </c>
      <c r="D53" s="117"/>
      <c r="E53" s="117"/>
      <c r="F53" s="117"/>
      <c r="G53" s="28"/>
      <c r="H53" s="331"/>
      <c r="I53" s="331"/>
      <c r="J53" s="331"/>
      <c r="K53" s="331"/>
      <c r="L53" s="334"/>
      <c r="M53" s="334"/>
      <c r="N53" s="334"/>
      <c r="O53" s="334"/>
      <c r="P53" s="334"/>
    </row>
    <row r="54" spans="1:16" ht="15.6" x14ac:dyDescent="0.3">
      <c r="A54" s="77" t="s">
        <v>219</v>
      </c>
      <c r="C54" s="54" t="s">
        <v>28</v>
      </c>
      <c r="D54" s="119"/>
      <c r="E54" s="119"/>
      <c r="F54" s="119"/>
      <c r="G54" s="28"/>
      <c r="H54" s="104">
        <v>65</v>
      </c>
      <c r="I54" s="104">
        <v>5</v>
      </c>
      <c r="J54" s="104" t="s">
        <v>89</v>
      </c>
      <c r="K54" s="104">
        <v>4</v>
      </c>
      <c r="M54" s="104">
        <v>75</v>
      </c>
      <c r="N54" s="104">
        <v>6</v>
      </c>
      <c r="O54" t="s">
        <v>446</v>
      </c>
      <c r="P54" s="104">
        <v>2</v>
      </c>
    </row>
    <row r="55" spans="1:16" x14ac:dyDescent="0.3">
      <c r="A55" s="44"/>
      <c r="B55" s="86" t="s">
        <v>221</v>
      </c>
      <c r="C55" t="s">
        <v>29</v>
      </c>
      <c r="D55" s="116"/>
      <c r="E55" s="116"/>
      <c r="F55" s="116"/>
      <c r="G55" s="14"/>
      <c r="H55" s="104">
        <v>65</v>
      </c>
      <c r="I55" s="104">
        <v>5</v>
      </c>
      <c r="J55" s="104" t="s">
        <v>89</v>
      </c>
      <c r="K55" s="104">
        <v>4</v>
      </c>
    </row>
    <row r="56" spans="1:16" x14ac:dyDescent="0.3">
      <c r="A56" s="44"/>
      <c r="B56" s="87" t="s">
        <v>222</v>
      </c>
      <c r="C56" s="10" t="s">
        <v>30</v>
      </c>
      <c r="D56" s="117"/>
      <c r="E56" s="117"/>
      <c r="F56" s="117"/>
      <c r="G56" s="14"/>
      <c r="H56" s="276">
        <v>65</v>
      </c>
      <c r="I56" s="276">
        <v>5</v>
      </c>
      <c r="J56" s="276" t="s">
        <v>89</v>
      </c>
      <c r="K56" s="276">
        <v>4</v>
      </c>
      <c r="L56" s="10"/>
      <c r="M56" s="10"/>
      <c r="N56" s="10"/>
      <c r="O56" s="10"/>
      <c r="P56" s="10"/>
    </row>
    <row r="57" spans="1:16" x14ac:dyDescent="0.3">
      <c r="A57" s="44"/>
      <c r="B57" s="86" t="s">
        <v>223</v>
      </c>
      <c r="C57" t="s">
        <v>220</v>
      </c>
      <c r="D57" s="116"/>
      <c r="E57" s="116"/>
      <c r="F57" s="116"/>
      <c r="G57" s="14"/>
      <c r="H57" s="104">
        <v>65</v>
      </c>
      <c r="I57" s="104">
        <v>5</v>
      </c>
      <c r="J57" s="104" t="s">
        <v>89</v>
      </c>
      <c r="K57" s="104">
        <v>4</v>
      </c>
    </row>
    <row r="58" spans="1:16" x14ac:dyDescent="0.3">
      <c r="A58" s="44"/>
      <c r="B58" s="88"/>
      <c r="C58" s="4" t="s">
        <v>224</v>
      </c>
      <c r="D58" s="118"/>
      <c r="E58" s="118"/>
      <c r="F58" s="118"/>
      <c r="G58" s="14"/>
      <c r="H58" s="331"/>
      <c r="I58" s="331"/>
      <c r="J58" s="331"/>
      <c r="K58" s="331"/>
      <c r="L58" s="334"/>
      <c r="M58" s="334"/>
      <c r="N58" s="334"/>
      <c r="O58" s="334"/>
      <c r="P58" s="334"/>
    </row>
    <row r="59" spans="1:16" ht="15.6" x14ac:dyDescent="0.3">
      <c r="A59" s="77" t="s">
        <v>225</v>
      </c>
      <c r="B59" s="229"/>
      <c r="C59" s="54" t="s">
        <v>226</v>
      </c>
      <c r="D59" s="119"/>
      <c r="E59" s="119"/>
      <c r="F59" s="119"/>
      <c r="G59" s="28"/>
      <c r="H59" s="104">
        <v>65</v>
      </c>
      <c r="I59" s="104">
        <v>5</v>
      </c>
      <c r="J59" s="104" t="s">
        <v>89</v>
      </c>
      <c r="K59" s="104">
        <v>4</v>
      </c>
      <c r="M59" s="104">
        <v>75</v>
      </c>
      <c r="N59" s="104">
        <v>6</v>
      </c>
      <c r="O59" t="s">
        <v>446</v>
      </c>
      <c r="P59" s="104">
        <v>2</v>
      </c>
    </row>
    <row r="60" spans="1:16" x14ac:dyDescent="0.3">
      <c r="A60" s="61"/>
      <c r="B60" s="82" t="s">
        <v>228</v>
      </c>
      <c r="C60" s="2" t="s">
        <v>227</v>
      </c>
      <c r="D60" s="116"/>
      <c r="E60" s="116"/>
      <c r="F60" s="116"/>
      <c r="G60" s="28"/>
      <c r="H60" s="104">
        <v>65</v>
      </c>
      <c r="I60" s="104">
        <v>5</v>
      </c>
      <c r="J60" s="104" t="s">
        <v>89</v>
      </c>
      <c r="K60" s="104">
        <v>4</v>
      </c>
    </row>
    <row r="61" spans="1:16" x14ac:dyDescent="0.3">
      <c r="A61" s="61"/>
      <c r="B61" s="83" t="s">
        <v>230</v>
      </c>
      <c r="C61" s="8" t="s">
        <v>229</v>
      </c>
      <c r="D61" s="117"/>
      <c r="E61" s="117"/>
      <c r="F61" s="117"/>
      <c r="G61" s="28"/>
      <c r="H61" s="276">
        <v>65</v>
      </c>
      <c r="I61" s="276">
        <v>5</v>
      </c>
      <c r="J61" s="276" t="s">
        <v>89</v>
      </c>
      <c r="K61" s="276">
        <v>4</v>
      </c>
      <c r="L61" s="10"/>
      <c r="M61" s="10"/>
      <c r="N61" s="10"/>
      <c r="O61" s="10"/>
      <c r="P61" s="10"/>
    </row>
    <row r="62" spans="1:16" x14ac:dyDescent="0.3">
      <c r="A62" s="61"/>
      <c r="B62" s="82" t="s">
        <v>232</v>
      </c>
      <c r="C62" s="2" t="s">
        <v>231</v>
      </c>
      <c r="D62" s="116"/>
      <c r="E62" s="116"/>
      <c r="F62" s="116"/>
      <c r="G62" s="28"/>
      <c r="H62" s="104">
        <v>65</v>
      </c>
      <c r="I62" s="104">
        <v>5</v>
      </c>
      <c r="J62" s="104" t="s">
        <v>89</v>
      </c>
      <c r="K62" s="104">
        <v>4</v>
      </c>
    </row>
    <row r="63" spans="1:16" x14ac:dyDescent="0.3">
      <c r="A63" s="61"/>
      <c r="B63" s="80"/>
      <c r="C63" s="13" t="s">
        <v>233</v>
      </c>
      <c r="D63" s="122"/>
      <c r="E63" s="122"/>
      <c r="F63" s="122"/>
      <c r="G63" s="28"/>
      <c r="H63" s="331"/>
      <c r="I63" s="331"/>
      <c r="J63" s="331"/>
      <c r="K63" s="331"/>
      <c r="L63" s="334"/>
      <c r="M63" s="334"/>
      <c r="N63" s="334"/>
      <c r="O63" s="334"/>
      <c r="P63" s="334"/>
    </row>
    <row r="64" spans="1:16" ht="15.6" x14ac:dyDescent="0.3">
      <c r="A64" s="77" t="s">
        <v>234</v>
      </c>
      <c r="B64" s="229"/>
      <c r="C64" s="54" t="s">
        <v>447</v>
      </c>
      <c r="D64" s="119"/>
      <c r="E64" s="119"/>
      <c r="F64" s="119"/>
      <c r="G64" s="28"/>
      <c r="H64" s="104">
        <v>67</v>
      </c>
      <c r="I64" s="104">
        <v>5</v>
      </c>
      <c r="J64" s="104" t="s">
        <v>89</v>
      </c>
      <c r="K64" s="104">
        <v>6</v>
      </c>
      <c r="M64" s="104">
        <v>76</v>
      </c>
      <c r="N64" s="104">
        <v>6</v>
      </c>
      <c r="O64" t="s">
        <v>446</v>
      </c>
      <c r="P64" s="104">
        <v>3</v>
      </c>
    </row>
    <row r="65" spans="1:16" x14ac:dyDescent="0.3">
      <c r="A65" s="94"/>
      <c r="B65" s="91" t="s">
        <v>236</v>
      </c>
      <c r="C65" s="92" t="s">
        <v>237</v>
      </c>
      <c r="D65" s="123"/>
      <c r="E65" s="123"/>
      <c r="F65" s="123"/>
      <c r="G65" s="28"/>
      <c r="H65" s="276">
        <v>67</v>
      </c>
      <c r="I65" s="276">
        <v>5</v>
      </c>
      <c r="J65" s="276" t="s">
        <v>89</v>
      </c>
      <c r="K65" s="276">
        <v>6</v>
      </c>
      <c r="L65" s="10"/>
      <c r="M65" s="10"/>
      <c r="N65" s="10"/>
      <c r="O65" s="10"/>
      <c r="P65" s="10"/>
    </row>
    <row r="66" spans="1:16" x14ac:dyDescent="0.3">
      <c r="A66" s="94"/>
      <c r="B66" s="79" t="s">
        <v>247</v>
      </c>
      <c r="C66" s="93" t="s">
        <v>246</v>
      </c>
      <c r="D66" s="124"/>
      <c r="E66" s="124"/>
      <c r="F66" s="124"/>
      <c r="G66" s="28"/>
      <c r="H66" s="104">
        <v>67</v>
      </c>
      <c r="I66" s="104">
        <v>5</v>
      </c>
      <c r="J66" s="104" t="s">
        <v>89</v>
      </c>
      <c r="K66" s="104">
        <v>6</v>
      </c>
    </row>
    <row r="67" spans="1:16" x14ac:dyDescent="0.3">
      <c r="A67" s="95"/>
      <c r="B67" s="91" t="s">
        <v>239</v>
      </c>
      <c r="C67" s="92" t="s">
        <v>238</v>
      </c>
      <c r="D67" s="123"/>
      <c r="E67" s="123"/>
      <c r="F67" s="123"/>
      <c r="G67" s="28"/>
      <c r="H67" s="276">
        <v>67</v>
      </c>
      <c r="I67" s="276">
        <v>5</v>
      </c>
      <c r="J67" s="276" t="s">
        <v>89</v>
      </c>
      <c r="K67" s="276">
        <v>6</v>
      </c>
      <c r="L67" s="10"/>
      <c r="M67" s="10"/>
      <c r="N67" s="10"/>
      <c r="O67" s="10"/>
      <c r="P67" s="10"/>
    </row>
    <row r="68" spans="1:16" x14ac:dyDescent="0.3">
      <c r="A68" s="95"/>
      <c r="B68" s="79" t="s">
        <v>241</v>
      </c>
      <c r="C68" s="93" t="s">
        <v>240</v>
      </c>
      <c r="D68" s="124"/>
      <c r="E68" s="124"/>
      <c r="F68" s="124"/>
      <c r="G68" s="28"/>
      <c r="H68" s="104">
        <v>67</v>
      </c>
      <c r="I68" s="104">
        <v>5</v>
      </c>
      <c r="J68" s="104" t="s">
        <v>89</v>
      </c>
      <c r="K68" s="104">
        <v>6</v>
      </c>
    </row>
    <row r="69" spans="1:16" x14ac:dyDescent="0.3">
      <c r="A69" s="95"/>
      <c r="B69" s="91" t="s">
        <v>244</v>
      </c>
      <c r="C69" s="92" t="s">
        <v>242</v>
      </c>
      <c r="D69" s="123"/>
      <c r="E69" s="123"/>
      <c r="F69" s="123"/>
      <c r="G69" s="28"/>
      <c r="H69" s="276">
        <v>67</v>
      </c>
      <c r="I69" s="276">
        <v>5</v>
      </c>
      <c r="J69" s="276" t="s">
        <v>89</v>
      </c>
      <c r="K69" s="276">
        <v>6</v>
      </c>
      <c r="L69" s="10"/>
      <c r="M69" s="10"/>
      <c r="N69" s="10"/>
      <c r="O69" s="10"/>
      <c r="P69" s="10"/>
    </row>
    <row r="70" spans="1:16" x14ac:dyDescent="0.3">
      <c r="A70" s="95"/>
      <c r="B70" s="79" t="s">
        <v>245</v>
      </c>
      <c r="C70" s="93" t="s">
        <v>243</v>
      </c>
      <c r="D70" s="124"/>
      <c r="E70" s="124"/>
      <c r="F70" s="124"/>
      <c r="G70" s="28"/>
      <c r="H70" s="104">
        <v>67</v>
      </c>
      <c r="I70" s="104">
        <v>5</v>
      </c>
      <c r="J70" s="104" t="s">
        <v>89</v>
      </c>
      <c r="K70" s="104">
        <v>6</v>
      </c>
    </row>
    <row r="71" spans="1:16" x14ac:dyDescent="0.3">
      <c r="A71" s="95"/>
      <c r="B71" s="342"/>
      <c r="C71" s="343"/>
      <c r="D71" s="123"/>
      <c r="E71" s="123"/>
      <c r="F71" s="123"/>
      <c r="G71" s="339"/>
      <c r="H71" s="332"/>
      <c r="I71" s="332"/>
      <c r="J71" s="332"/>
      <c r="K71" s="332"/>
      <c r="L71" s="320"/>
      <c r="M71" s="320"/>
      <c r="N71" s="320"/>
      <c r="O71" s="320"/>
      <c r="P71" s="320"/>
    </row>
    <row r="72" spans="1:16" x14ac:dyDescent="0.3">
      <c r="A72" s="95"/>
      <c r="B72" s="340"/>
      <c r="C72" s="341"/>
      <c r="D72" s="124"/>
      <c r="E72" s="124"/>
      <c r="F72" s="124"/>
      <c r="G72" s="339"/>
      <c r="H72" s="333"/>
      <c r="I72" s="333"/>
      <c r="J72" s="333"/>
      <c r="K72" s="333"/>
      <c r="L72" s="334"/>
      <c r="M72" s="334"/>
      <c r="N72" s="334"/>
      <c r="O72" s="334"/>
      <c r="P72" s="334"/>
    </row>
    <row r="73" spans="1:16" x14ac:dyDescent="0.3">
      <c r="A73" s="95"/>
      <c r="B73" s="96"/>
      <c r="C73" s="92" t="s">
        <v>248</v>
      </c>
      <c r="D73" s="123"/>
      <c r="E73" s="123"/>
      <c r="F73" s="123"/>
      <c r="G73" s="28"/>
      <c r="H73" s="332"/>
      <c r="I73" s="332"/>
      <c r="J73" s="332"/>
      <c r="K73" s="332"/>
      <c r="L73" s="320"/>
      <c r="M73" s="320"/>
      <c r="N73" s="320"/>
      <c r="O73" s="320"/>
      <c r="P73" s="320"/>
    </row>
    <row r="74" spans="1:16" ht="15.6" x14ac:dyDescent="0.3">
      <c r="A74" s="77" t="s">
        <v>249</v>
      </c>
      <c r="B74" s="229"/>
      <c r="C74" s="54" t="s">
        <v>250</v>
      </c>
      <c r="D74" s="120"/>
      <c r="E74" s="120"/>
      <c r="F74" s="120"/>
      <c r="G74" s="28"/>
      <c r="H74" s="104">
        <v>67</v>
      </c>
      <c r="I74" s="104">
        <v>5</v>
      </c>
      <c r="J74" s="104" t="s">
        <v>89</v>
      </c>
      <c r="K74" s="104">
        <v>6</v>
      </c>
    </row>
    <row r="75" spans="1:16" ht="15.6" x14ac:dyDescent="0.3">
      <c r="A75" s="76" t="s">
        <v>252</v>
      </c>
      <c r="B75" s="230"/>
      <c r="C75" s="78" t="s">
        <v>251</v>
      </c>
      <c r="D75" s="119"/>
      <c r="E75" s="119"/>
      <c r="F75" s="119"/>
      <c r="G75" s="28"/>
      <c r="H75" s="276">
        <v>68</v>
      </c>
      <c r="I75" s="276">
        <v>5</v>
      </c>
      <c r="J75" s="276" t="s">
        <v>89</v>
      </c>
      <c r="K75" s="276">
        <v>7</v>
      </c>
      <c r="L75" s="10"/>
      <c r="M75" s="276">
        <v>76</v>
      </c>
      <c r="N75" s="276">
        <v>6</v>
      </c>
      <c r="O75" s="10" t="s">
        <v>446</v>
      </c>
      <c r="P75" s="276">
        <v>3</v>
      </c>
    </row>
    <row r="76" spans="1:16" x14ac:dyDescent="0.3">
      <c r="A76" s="94"/>
      <c r="B76" s="79" t="s">
        <v>255</v>
      </c>
      <c r="C76" s="93" t="s">
        <v>253</v>
      </c>
      <c r="D76" s="124"/>
      <c r="E76" s="124"/>
      <c r="F76" s="124"/>
      <c r="G76" s="28"/>
      <c r="H76" s="104">
        <v>68</v>
      </c>
      <c r="I76" s="104">
        <v>5</v>
      </c>
      <c r="J76" s="104" t="s">
        <v>89</v>
      </c>
      <c r="K76" s="104">
        <v>7</v>
      </c>
    </row>
    <row r="77" spans="1:16" x14ac:dyDescent="0.3">
      <c r="A77" s="94"/>
      <c r="B77" s="91" t="s">
        <v>256</v>
      </c>
      <c r="C77" s="92" t="s">
        <v>254</v>
      </c>
      <c r="D77" s="123"/>
      <c r="E77" s="123"/>
      <c r="F77" s="123"/>
      <c r="G77" s="28"/>
      <c r="H77" s="276">
        <v>68</v>
      </c>
      <c r="I77" s="276">
        <v>5</v>
      </c>
      <c r="J77" s="276" t="s">
        <v>89</v>
      </c>
      <c r="K77" s="276">
        <v>7</v>
      </c>
      <c r="L77" s="10"/>
      <c r="M77" s="10"/>
      <c r="N77" s="10"/>
      <c r="O77" s="10"/>
      <c r="P77" s="10"/>
    </row>
    <row r="78" spans="1:16" ht="15.6" x14ac:dyDescent="0.3">
      <c r="A78" s="85"/>
      <c r="B78" s="97"/>
      <c r="C78" s="54" t="s">
        <v>257</v>
      </c>
      <c r="D78" s="120"/>
      <c r="E78" s="120"/>
      <c r="F78" s="120"/>
      <c r="G78" s="28"/>
      <c r="H78" s="331"/>
      <c r="I78" s="331"/>
      <c r="J78" s="331"/>
      <c r="K78" s="331"/>
      <c r="L78" s="334"/>
      <c r="M78" s="334"/>
      <c r="N78" s="334"/>
      <c r="O78" s="334"/>
      <c r="P78" s="334"/>
    </row>
    <row r="79" spans="1:16" ht="15.6" x14ac:dyDescent="0.3">
      <c r="A79" s="76" t="s">
        <v>259</v>
      </c>
      <c r="B79" s="230"/>
      <c r="C79" s="78" t="s">
        <v>258</v>
      </c>
      <c r="D79" s="117"/>
      <c r="E79" s="117"/>
      <c r="F79" s="117"/>
      <c r="G79" s="28"/>
      <c r="H79" s="276">
        <v>69</v>
      </c>
      <c r="I79" s="276">
        <v>5</v>
      </c>
      <c r="J79" s="276" t="s">
        <v>89</v>
      </c>
      <c r="K79" s="276">
        <v>8</v>
      </c>
      <c r="L79" s="10"/>
      <c r="M79" s="276">
        <v>76</v>
      </c>
      <c r="N79" s="276">
        <v>6</v>
      </c>
      <c r="O79" s="10" t="s">
        <v>446</v>
      </c>
      <c r="P79" s="276">
        <v>3</v>
      </c>
    </row>
    <row r="80" spans="1:16" ht="15.6" x14ac:dyDescent="0.3">
      <c r="A80" s="77" t="s">
        <v>261</v>
      </c>
      <c r="B80" s="229"/>
      <c r="C80" s="54" t="s">
        <v>260</v>
      </c>
      <c r="D80" s="120"/>
      <c r="E80" s="120"/>
      <c r="F80" s="120"/>
      <c r="G80" s="28"/>
      <c r="H80" s="104">
        <v>69</v>
      </c>
      <c r="I80" s="104">
        <v>5</v>
      </c>
      <c r="J80" s="104" t="s">
        <v>89</v>
      </c>
      <c r="K80" s="104">
        <v>8</v>
      </c>
    </row>
    <row r="81" spans="1:16" x14ac:dyDescent="0.3">
      <c r="A81" s="94"/>
      <c r="B81" s="91" t="s">
        <v>263</v>
      </c>
      <c r="C81" s="92" t="s">
        <v>262</v>
      </c>
      <c r="D81" s="123"/>
      <c r="E81" s="123"/>
      <c r="F81" s="123"/>
      <c r="G81" s="28"/>
      <c r="H81" s="276">
        <v>69</v>
      </c>
      <c r="I81" s="276">
        <v>5</v>
      </c>
      <c r="J81" s="276" t="s">
        <v>89</v>
      </c>
      <c r="K81" s="276">
        <v>8</v>
      </c>
      <c r="L81" s="10"/>
      <c r="M81" s="276">
        <v>77</v>
      </c>
      <c r="N81" s="276">
        <v>6</v>
      </c>
      <c r="O81" s="10" t="s">
        <v>446</v>
      </c>
      <c r="P81" s="276">
        <v>4</v>
      </c>
    </row>
    <row r="82" spans="1:16" x14ac:dyDescent="0.3">
      <c r="A82" s="94"/>
      <c r="B82" s="340"/>
      <c r="C82" s="341"/>
      <c r="D82" s="124"/>
      <c r="E82" s="124"/>
      <c r="F82" s="124"/>
      <c r="G82" s="28"/>
      <c r="H82" s="331"/>
      <c r="I82" s="331"/>
      <c r="J82" s="331"/>
      <c r="K82" s="331"/>
      <c r="L82" s="319"/>
      <c r="M82" s="331"/>
      <c r="N82" s="331"/>
      <c r="O82" s="319"/>
      <c r="P82" s="331"/>
    </row>
    <row r="83" spans="1:16" x14ac:dyDescent="0.3">
      <c r="A83" s="94"/>
      <c r="B83" s="342"/>
      <c r="C83" s="343"/>
      <c r="D83" s="123"/>
      <c r="E83" s="123"/>
      <c r="F83" s="123"/>
      <c r="G83" s="28"/>
      <c r="H83" s="332"/>
      <c r="I83" s="332"/>
      <c r="J83" s="332"/>
      <c r="K83" s="332"/>
      <c r="L83" s="320"/>
      <c r="M83" s="332"/>
      <c r="N83" s="332"/>
      <c r="O83" s="320"/>
      <c r="P83" s="332"/>
    </row>
    <row r="84" spans="1:16" ht="15.6" x14ac:dyDescent="0.3">
      <c r="A84" s="98"/>
      <c r="B84" s="97"/>
      <c r="C84" s="54" t="s">
        <v>264</v>
      </c>
      <c r="D84" s="120"/>
      <c r="E84" s="120"/>
      <c r="F84" s="120"/>
      <c r="G84" s="28"/>
      <c r="H84" s="331"/>
      <c r="I84" s="331"/>
      <c r="J84" s="331"/>
      <c r="K84" s="331"/>
      <c r="L84" s="334"/>
      <c r="M84" s="334"/>
      <c r="N84" s="334"/>
      <c r="O84" s="334"/>
      <c r="P84" s="334"/>
    </row>
    <row r="85" spans="1:16" ht="15.6" x14ac:dyDescent="0.3">
      <c r="A85" s="98"/>
      <c r="B85" s="97"/>
      <c r="C85" s="130" t="s">
        <v>394</v>
      </c>
      <c r="D85" s="146">
        <f>SUM(D30:D84)</f>
        <v>0</v>
      </c>
      <c r="E85" s="146">
        <f t="shared" ref="E85:F85" si="1">SUM(E30:E84)</f>
        <v>0</v>
      </c>
      <c r="F85" s="146">
        <f t="shared" si="1"/>
        <v>0</v>
      </c>
      <c r="G85" s="28"/>
      <c r="H85" s="331"/>
      <c r="I85" s="331"/>
      <c r="J85" s="331"/>
      <c r="K85" s="331"/>
      <c r="L85" s="334"/>
      <c r="M85" s="334"/>
      <c r="N85" s="334"/>
      <c r="O85" s="334"/>
      <c r="P85" s="334"/>
    </row>
    <row r="86" spans="1:16" ht="18" x14ac:dyDescent="0.35">
      <c r="A86" s="405" t="s">
        <v>266</v>
      </c>
      <c r="B86" s="406"/>
      <c r="C86" s="406"/>
      <c r="D86" s="406"/>
      <c r="E86" s="406"/>
      <c r="F86" s="407"/>
      <c r="G86" s="32"/>
      <c r="H86" s="81"/>
      <c r="I86" s="81"/>
      <c r="J86" s="81"/>
      <c r="K86" s="81"/>
      <c r="M86" s="104">
        <v>77</v>
      </c>
      <c r="N86" s="104">
        <v>6</v>
      </c>
      <c r="O86" t="s">
        <v>446</v>
      </c>
      <c r="P86" s="104">
        <v>4</v>
      </c>
    </row>
    <row r="87" spans="1:16" ht="15.6" x14ac:dyDescent="0.3">
      <c r="A87" s="69" t="s">
        <v>188</v>
      </c>
      <c r="C87" s="103" t="s">
        <v>31</v>
      </c>
      <c r="D87" s="89"/>
      <c r="E87" s="89"/>
      <c r="F87" s="90"/>
      <c r="G87" s="28"/>
      <c r="H87" s="331"/>
      <c r="I87" s="331"/>
      <c r="J87" s="331"/>
      <c r="K87" s="331"/>
      <c r="M87" s="104">
        <v>77</v>
      </c>
      <c r="N87" s="104">
        <v>6</v>
      </c>
      <c r="O87" t="s">
        <v>446</v>
      </c>
      <c r="P87" s="104">
        <v>4</v>
      </c>
    </row>
    <row r="88" spans="1:16" x14ac:dyDescent="0.3">
      <c r="A88" s="44"/>
      <c r="B88" s="86" t="s">
        <v>267</v>
      </c>
      <c r="C88" t="s">
        <v>32</v>
      </c>
      <c r="D88" s="116"/>
      <c r="E88" s="116"/>
      <c r="F88" s="116"/>
      <c r="G88" s="14"/>
      <c r="H88" s="104">
        <v>70</v>
      </c>
      <c r="I88" s="104">
        <v>5</v>
      </c>
      <c r="J88" s="104" t="s">
        <v>89</v>
      </c>
      <c r="K88" s="104">
        <v>9</v>
      </c>
    </row>
    <row r="89" spans="1:16" x14ac:dyDescent="0.3">
      <c r="A89" s="44"/>
      <c r="B89" s="87" t="s">
        <v>268</v>
      </c>
      <c r="C89" s="10" t="s">
        <v>33</v>
      </c>
      <c r="D89" s="117"/>
      <c r="E89" s="117"/>
      <c r="F89" s="117"/>
      <c r="G89" s="14"/>
      <c r="H89" s="276">
        <v>70</v>
      </c>
      <c r="I89" s="276">
        <v>5</v>
      </c>
      <c r="J89" s="276" t="s">
        <v>89</v>
      </c>
      <c r="K89" s="276">
        <v>9</v>
      </c>
      <c r="L89" s="10"/>
      <c r="M89" s="10"/>
      <c r="N89" s="10"/>
      <c r="O89" s="10"/>
      <c r="P89" s="10"/>
    </row>
    <row r="90" spans="1:16" x14ac:dyDescent="0.3">
      <c r="A90" s="44"/>
      <c r="B90" s="86" t="s">
        <v>269</v>
      </c>
      <c r="C90" t="s">
        <v>34</v>
      </c>
      <c r="D90" s="116"/>
      <c r="E90" s="116"/>
      <c r="F90" s="116"/>
      <c r="G90" s="14"/>
      <c r="H90" s="104">
        <v>70</v>
      </c>
      <c r="I90" s="104">
        <v>5</v>
      </c>
      <c r="J90" s="104" t="s">
        <v>89</v>
      </c>
      <c r="K90" s="104">
        <v>9</v>
      </c>
    </row>
    <row r="91" spans="1:16" x14ac:dyDescent="0.3">
      <c r="A91" s="44"/>
      <c r="B91" s="87" t="s">
        <v>276</v>
      </c>
      <c r="C91" s="10" t="s">
        <v>277</v>
      </c>
      <c r="D91" s="117"/>
      <c r="E91" s="117"/>
      <c r="F91" s="117"/>
      <c r="G91" s="14"/>
      <c r="H91" s="276">
        <v>70</v>
      </c>
      <c r="I91" s="276">
        <v>5</v>
      </c>
      <c r="J91" s="276" t="s">
        <v>89</v>
      </c>
      <c r="K91" s="276">
        <v>9</v>
      </c>
      <c r="L91" s="10"/>
      <c r="M91" s="10"/>
      <c r="N91" s="10"/>
      <c r="O91" s="10"/>
      <c r="P91" s="10"/>
    </row>
    <row r="92" spans="1:16" x14ac:dyDescent="0.3">
      <c r="A92" s="44"/>
      <c r="B92" s="86" t="s">
        <v>270</v>
      </c>
      <c r="C92" s="11" t="s">
        <v>35</v>
      </c>
      <c r="D92" s="120"/>
      <c r="E92" s="120"/>
      <c r="F92" s="120"/>
      <c r="G92" s="14"/>
      <c r="H92" s="104">
        <v>70</v>
      </c>
      <c r="I92" s="104">
        <v>5</v>
      </c>
      <c r="J92" s="104" t="s">
        <v>89</v>
      </c>
      <c r="K92" s="104">
        <v>9</v>
      </c>
    </row>
    <row r="93" spans="1:16" x14ac:dyDescent="0.3">
      <c r="A93" s="44"/>
      <c r="B93" s="87" t="s">
        <v>271</v>
      </c>
      <c r="C93" s="10" t="s">
        <v>36</v>
      </c>
      <c r="D93" s="117"/>
      <c r="E93" s="117"/>
      <c r="F93" s="117"/>
      <c r="G93" s="14"/>
      <c r="H93" s="276">
        <v>70</v>
      </c>
      <c r="I93" s="276">
        <v>5</v>
      </c>
      <c r="J93" s="276" t="s">
        <v>89</v>
      </c>
      <c r="K93" s="276">
        <v>9</v>
      </c>
      <c r="L93" s="10"/>
      <c r="M93" s="10"/>
      <c r="N93" s="10"/>
      <c r="O93" s="10"/>
      <c r="P93" s="10"/>
    </row>
    <row r="94" spans="1:16" x14ac:dyDescent="0.3">
      <c r="A94" s="44"/>
      <c r="B94" s="86" t="s">
        <v>275</v>
      </c>
      <c r="C94" t="s">
        <v>274</v>
      </c>
      <c r="D94" s="116"/>
      <c r="E94" s="116"/>
      <c r="F94" s="116"/>
      <c r="G94" s="14"/>
      <c r="H94" s="104">
        <v>70</v>
      </c>
      <c r="I94" s="104">
        <v>5</v>
      </c>
      <c r="J94" s="104" t="s">
        <v>89</v>
      </c>
      <c r="K94" s="104">
        <v>9</v>
      </c>
    </row>
    <row r="95" spans="1:16" x14ac:dyDescent="0.3">
      <c r="A95" s="44"/>
      <c r="B95" s="87" t="s">
        <v>272</v>
      </c>
      <c r="C95" s="10" t="s">
        <v>37</v>
      </c>
      <c r="D95" s="117"/>
      <c r="E95" s="117"/>
      <c r="F95" s="117"/>
      <c r="G95" s="14"/>
      <c r="H95" s="276">
        <v>70</v>
      </c>
      <c r="I95" s="276">
        <v>5</v>
      </c>
      <c r="J95" s="276" t="s">
        <v>89</v>
      </c>
      <c r="K95" s="276">
        <v>9</v>
      </c>
      <c r="L95" s="10"/>
      <c r="M95" s="10"/>
      <c r="N95" s="10"/>
      <c r="O95" s="10"/>
      <c r="P95" s="10"/>
    </row>
    <row r="96" spans="1:16" x14ac:dyDescent="0.3">
      <c r="A96" s="44"/>
      <c r="B96" s="86" t="s">
        <v>273</v>
      </c>
      <c r="C96" s="11" t="s">
        <v>38</v>
      </c>
      <c r="D96" s="120"/>
      <c r="E96" s="120"/>
      <c r="F96" s="120"/>
      <c r="G96" s="14"/>
      <c r="H96" s="104">
        <v>70</v>
      </c>
      <c r="I96" s="104">
        <v>5</v>
      </c>
      <c r="J96" s="104" t="s">
        <v>89</v>
      </c>
      <c r="K96" s="104">
        <v>9</v>
      </c>
    </row>
    <row r="97" spans="1:16" x14ac:dyDescent="0.3">
      <c r="A97" s="44"/>
      <c r="B97" s="87" t="s">
        <v>278</v>
      </c>
      <c r="C97" s="10" t="s">
        <v>279</v>
      </c>
      <c r="D97" s="117"/>
      <c r="E97" s="117"/>
      <c r="F97" s="117"/>
      <c r="G97" s="14"/>
      <c r="H97" s="276">
        <v>70</v>
      </c>
      <c r="I97" s="276">
        <v>5</v>
      </c>
      <c r="J97" s="276" t="s">
        <v>89</v>
      </c>
      <c r="K97" s="276">
        <v>9</v>
      </c>
      <c r="L97" s="10"/>
      <c r="M97" s="10"/>
      <c r="N97" s="10"/>
      <c r="O97" s="10"/>
      <c r="P97" s="10"/>
    </row>
    <row r="98" spans="1:16" x14ac:dyDescent="0.3">
      <c r="A98" s="44"/>
      <c r="B98" s="329"/>
      <c r="C98" s="319"/>
      <c r="D98" s="120"/>
      <c r="E98" s="120"/>
      <c r="F98" s="120"/>
      <c r="G98" s="14"/>
      <c r="H98" s="331"/>
      <c r="I98" s="331"/>
      <c r="J98" s="331"/>
      <c r="K98" s="331"/>
      <c r="L98" s="319"/>
      <c r="M98" s="319"/>
      <c r="N98" s="319"/>
      <c r="O98" s="319"/>
      <c r="P98" s="319"/>
    </row>
    <row r="99" spans="1:16" x14ac:dyDescent="0.3">
      <c r="A99" s="44"/>
      <c r="B99" s="330"/>
      <c r="C99" s="320"/>
      <c r="D99" s="117"/>
      <c r="E99" s="117"/>
      <c r="F99" s="117"/>
      <c r="G99" s="14"/>
      <c r="H99" s="332"/>
      <c r="I99" s="332"/>
      <c r="J99" s="332"/>
      <c r="K99" s="332"/>
      <c r="L99" s="320"/>
      <c r="M99" s="320"/>
      <c r="N99" s="320"/>
      <c r="O99" s="320"/>
      <c r="P99" s="320"/>
    </row>
    <row r="100" spans="1:16" x14ac:dyDescent="0.3">
      <c r="A100" s="44"/>
      <c r="B100" s="105"/>
      <c r="C100" s="12" t="s">
        <v>280</v>
      </c>
      <c r="D100" s="126"/>
      <c r="E100" s="126"/>
      <c r="F100" s="126"/>
      <c r="G100" s="14"/>
      <c r="H100" s="331"/>
      <c r="I100" s="331"/>
      <c r="J100" s="331"/>
      <c r="K100" s="331"/>
      <c r="L100" s="334"/>
      <c r="M100" s="334"/>
      <c r="N100" s="334"/>
      <c r="O100" s="334"/>
      <c r="P100" s="334"/>
    </row>
    <row r="101" spans="1:16" ht="15.6" x14ac:dyDescent="0.3">
      <c r="A101" s="69" t="s">
        <v>189</v>
      </c>
      <c r="C101" s="107" t="s">
        <v>39</v>
      </c>
      <c r="D101" s="127"/>
      <c r="E101" s="127"/>
      <c r="F101" s="128"/>
      <c r="G101" s="28"/>
      <c r="H101" s="104">
        <v>70</v>
      </c>
      <c r="I101" s="104">
        <v>5</v>
      </c>
      <c r="J101" s="104" t="s">
        <v>89</v>
      </c>
      <c r="K101" s="104">
        <v>9</v>
      </c>
      <c r="M101" s="104">
        <v>77</v>
      </c>
      <c r="N101" s="104">
        <v>6</v>
      </c>
      <c r="O101" t="s">
        <v>446</v>
      </c>
      <c r="P101" s="104">
        <v>4</v>
      </c>
    </row>
    <row r="102" spans="1:16" x14ac:dyDescent="0.3">
      <c r="A102" s="44"/>
      <c r="B102" s="86" t="s">
        <v>292</v>
      </c>
      <c r="C102" t="s">
        <v>43</v>
      </c>
      <c r="D102" s="116"/>
      <c r="E102" s="116"/>
      <c r="F102" s="116"/>
      <c r="G102" s="14"/>
      <c r="H102" s="104">
        <v>70</v>
      </c>
      <c r="I102" s="104">
        <v>5</v>
      </c>
      <c r="J102" s="104" t="s">
        <v>89</v>
      </c>
      <c r="K102" s="104">
        <v>9</v>
      </c>
    </row>
    <row r="103" spans="1:16" x14ac:dyDescent="0.3">
      <c r="A103" s="44"/>
      <c r="B103" s="87" t="s">
        <v>293</v>
      </c>
      <c r="C103" s="10" t="s">
        <v>44</v>
      </c>
      <c r="D103" s="117"/>
      <c r="E103" s="117"/>
      <c r="F103" s="117"/>
      <c r="G103" s="14"/>
      <c r="H103" s="276">
        <v>70</v>
      </c>
      <c r="I103" s="276">
        <v>5</v>
      </c>
      <c r="J103" s="276" t="s">
        <v>89</v>
      </c>
      <c r="K103" s="276">
        <v>9</v>
      </c>
      <c r="L103" s="10"/>
      <c r="M103" s="10"/>
      <c r="N103" s="10"/>
      <c r="O103" s="10"/>
      <c r="P103" s="10"/>
    </row>
    <row r="104" spans="1:16" x14ac:dyDescent="0.3">
      <c r="A104" s="44"/>
      <c r="B104" s="86" t="s">
        <v>294</v>
      </c>
      <c r="C104" t="s">
        <v>45</v>
      </c>
      <c r="D104" s="116"/>
      <c r="E104" s="116"/>
      <c r="F104" s="116"/>
      <c r="G104" s="14"/>
      <c r="H104" s="104">
        <v>70</v>
      </c>
      <c r="I104" s="104">
        <v>5</v>
      </c>
      <c r="J104" s="104" t="s">
        <v>89</v>
      </c>
      <c r="K104" s="104">
        <v>9</v>
      </c>
    </row>
    <row r="105" spans="1:16" x14ac:dyDescent="0.3">
      <c r="A105" s="44"/>
      <c r="B105" s="87" t="s">
        <v>295</v>
      </c>
      <c r="C105" s="10" t="s">
        <v>281</v>
      </c>
      <c r="D105" s="117"/>
      <c r="E105" s="117"/>
      <c r="F105" s="117"/>
      <c r="G105" s="14"/>
      <c r="H105" s="276">
        <v>70</v>
      </c>
      <c r="I105" s="276">
        <v>5</v>
      </c>
      <c r="J105" s="276" t="s">
        <v>89</v>
      </c>
      <c r="K105" s="276">
        <v>9</v>
      </c>
      <c r="L105" s="10"/>
      <c r="M105" s="10"/>
      <c r="N105" s="10"/>
      <c r="O105" s="10"/>
      <c r="P105" s="10"/>
    </row>
    <row r="106" spans="1:16" x14ac:dyDescent="0.3">
      <c r="A106" s="44"/>
      <c r="B106" s="106" t="s">
        <v>296</v>
      </c>
      <c r="C106" t="s">
        <v>46</v>
      </c>
      <c r="D106" s="116"/>
      <c r="E106" s="116"/>
      <c r="F106" s="116"/>
      <c r="G106" s="14"/>
      <c r="H106" s="104">
        <v>70</v>
      </c>
      <c r="I106" s="104">
        <v>5</v>
      </c>
      <c r="J106" s="104" t="s">
        <v>89</v>
      </c>
      <c r="K106" s="104">
        <v>9</v>
      </c>
    </row>
    <row r="107" spans="1:16" x14ac:dyDescent="0.3">
      <c r="A107" s="44"/>
      <c r="B107" s="87" t="s">
        <v>297</v>
      </c>
      <c r="C107" s="10" t="s">
        <v>47</v>
      </c>
      <c r="D107" s="117"/>
      <c r="E107" s="117"/>
      <c r="F107" s="117"/>
      <c r="G107" s="14"/>
      <c r="H107" s="276">
        <v>70</v>
      </c>
      <c r="I107" s="276">
        <v>5</v>
      </c>
      <c r="J107" s="276" t="s">
        <v>89</v>
      </c>
      <c r="K107" s="276">
        <v>9</v>
      </c>
      <c r="L107" s="10"/>
      <c r="M107" s="10"/>
      <c r="N107" s="10"/>
      <c r="O107" s="10"/>
      <c r="P107" s="10"/>
    </row>
    <row r="108" spans="1:16" x14ac:dyDescent="0.3">
      <c r="A108" s="44"/>
      <c r="B108" s="86" t="s">
        <v>298</v>
      </c>
      <c r="C108" t="s">
        <v>48</v>
      </c>
      <c r="D108" s="116"/>
      <c r="E108" s="116"/>
      <c r="F108" s="116"/>
      <c r="G108" s="14"/>
      <c r="H108" s="104">
        <v>70</v>
      </c>
      <c r="I108" s="104">
        <v>5</v>
      </c>
      <c r="J108" s="104" t="s">
        <v>89</v>
      </c>
      <c r="K108" s="104">
        <v>9</v>
      </c>
    </row>
    <row r="109" spans="1:16" x14ac:dyDescent="0.3">
      <c r="A109" s="44"/>
      <c r="B109" s="87" t="s">
        <v>299</v>
      </c>
      <c r="C109" s="10" t="s">
        <v>49</v>
      </c>
      <c r="D109" s="117"/>
      <c r="E109" s="117"/>
      <c r="F109" s="117"/>
      <c r="G109" s="14"/>
      <c r="H109" s="276">
        <v>70</v>
      </c>
      <c r="I109" s="276">
        <v>5</v>
      </c>
      <c r="J109" s="276" t="s">
        <v>89</v>
      </c>
      <c r="K109" s="276">
        <v>9</v>
      </c>
      <c r="L109" s="10"/>
      <c r="M109" s="10"/>
      <c r="N109" s="10"/>
      <c r="O109" s="10"/>
      <c r="P109" s="10"/>
    </row>
    <row r="110" spans="1:16" x14ac:dyDescent="0.3">
      <c r="A110" s="44"/>
      <c r="B110" s="86" t="s">
        <v>300</v>
      </c>
      <c r="C110" s="11" t="s">
        <v>282</v>
      </c>
      <c r="D110" s="120"/>
      <c r="E110" s="120"/>
      <c r="F110" s="120"/>
      <c r="G110" s="14"/>
      <c r="H110" s="104">
        <v>70</v>
      </c>
      <c r="I110" s="104">
        <v>5</v>
      </c>
      <c r="J110" s="104" t="s">
        <v>89</v>
      </c>
      <c r="K110" s="104">
        <v>9</v>
      </c>
    </row>
    <row r="111" spans="1:16" x14ac:dyDescent="0.3">
      <c r="A111" s="44"/>
      <c r="B111" s="87" t="s">
        <v>301</v>
      </c>
      <c r="C111" s="10" t="s">
        <v>283</v>
      </c>
      <c r="D111" s="117"/>
      <c r="E111" s="117"/>
      <c r="F111" s="117"/>
      <c r="G111" s="14"/>
      <c r="H111" s="276">
        <v>70</v>
      </c>
      <c r="I111" s="276">
        <v>5</v>
      </c>
      <c r="J111" s="276" t="s">
        <v>89</v>
      </c>
      <c r="K111" s="276">
        <v>9</v>
      </c>
      <c r="L111" s="10"/>
      <c r="M111" s="10"/>
      <c r="N111" s="10"/>
      <c r="O111" s="10"/>
      <c r="P111" s="10"/>
    </row>
    <row r="112" spans="1:16" x14ac:dyDescent="0.3">
      <c r="A112" s="44"/>
      <c r="B112" s="106" t="s">
        <v>302</v>
      </c>
      <c r="C112" s="11" t="s">
        <v>284</v>
      </c>
      <c r="D112" s="116"/>
      <c r="E112" s="116"/>
      <c r="F112" s="116"/>
      <c r="G112" s="14"/>
      <c r="H112" s="104">
        <v>70</v>
      </c>
      <c r="I112" s="104">
        <v>5</v>
      </c>
      <c r="J112" s="104" t="s">
        <v>89</v>
      </c>
      <c r="K112" s="104">
        <v>9</v>
      </c>
    </row>
    <row r="113" spans="1:16" x14ac:dyDescent="0.3">
      <c r="A113" s="44"/>
      <c r="B113" s="87" t="s">
        <v>303</v>
      </c>
      <c r="C113" s="10" t="s">
        <v>285</v>
      </c>
      <c r="D113" s="117"/>
      <c r="E113" s="117"/>
      <c r="F113" s="117"/>
      <c r="G113" s="14"/>
      <c r="H113" s="276">
        <v>70</v>
      </c>
      <c r="I113" s="276">
        <v>5</v>
      </c>
      <c r="J113" s="276" t="s">
        <v>89</v>
      </c>
      <c r="K113" s="276">
        <v>9</v>
      </c>
      <c r="L113" s="10"/>
      <c r="M113" s="10"/>
      <c r="N113" s="10"/>
      <c r="O113" s="10"/>
      <c r="P113" s="10"/>
    </row>
    <row r="114" spans="1:16" x14ac:dyDescent="0.3">
      <c r="A114" s="44"/>
      <c r="B114" s="106" t="s">
        <v>304</v>
      </c>
      <c r="C114" s="11" t="s">
        <v>286</v>
      </c>
      <c r="D114" s="120"/>
      <c r="E114" s="120"/>
      <c r="F114" s="120"/>
      <c r="G114" s="14"/>
      <c r="H114" s="104">
        <v>70</v>
      </c>
      <c r="I114" s="104">
        <v>5</v>
      </c>
      <c r="J114" s="104" t="s">
        <v>89</v>
      </c>
      <c r="K114" s="104">
        <v>9</v>
      </c>
    </row>
    <row r="115" spans="1:16" x14ac:dyDescent="0.3">
      <c r="A115" s="44"/>
      <c r="B115" s="87" t="s">
        <v>305</v>
      </c>
      <c r="C115" s="10" t="s">
        <v>287</v>
      </c>
      <c r="D115" s="117"/>
      <c r="E115" s="117"/>
      <c r="F115" s="117"/>
      <c r="G115" s="14"/>
      <c r="H115" s="276">
        <v>70</v>
      </c>
      <c r="I115" s="276">
        <v>5</v>
      </c>
      <c r="J115" s="276" t="s">
        <v>89</v>
      </c>
      <c r="K115" s="276">
        <v>9</v>
      </c>
      <c r="L115" s="10"/>
      <c r="M115" s="10"/>
      <c r="N115" s="10"/>
      <c r="O115" s="10"/>
      <c r="P115" s="10"/>
    </row>
    <row r="116" spans="1:16" x14ac:dyDescent="0.3">
      <c r="A116" s="44"/>
      <c r="B116" s="86" t="s">
        <v>306</v>
      </c>
      <c r="C116" s="11" t="s">
        <v>288</v>
      </c>
      <c r="D116" s="120"/>
      <c r="E116" s="120"/>
      <c r="F116" s="120"/>
      <c r="G116" s="14"/>
      <c r="H116" s="104">
        <v>70</v>
      </c>
      <c r="I116" s="104">
        <v>5</v>
      </c>
      <c r="J116" s="104" t="s">
        <v>89</v>
      </c>
      <c r="K116" s="104">
        <v>9</v>
      </c>
    </row>
    <row r="117" spans="1:16" x14ac:dyDescent="0.3">
      <c r="A117" s="44"/>
      <c r="B117" s="87" t="s">
        <v>307</v>
      </c>
      <c r="C117" s="10" t="s">
        <v>289</v>
      </c>
      <c r="D117" s="117"/>
      <c r="E117" s="117"/>
      <c r="F117" s="117"/>
      <c r="G117" s="14"/>
      <c r="H117" s="276">
        <v>70</v>
      </c>
      <c r="I117" s="276">
        <v>5</v>
      </c>
      <c r="J117" s="276" t="s">
        <v>89</v>
      </c>
      <c r="K117" s="276">
        <v>9</v>
      </c>
      <c r="L117" s="10"/>
      <c r="M117" s="10"/>
      <c r="N117" s="10"/>
      <c r="O117" s="10"/>
      <c r="P117" s="10"/>
    </row>
    <row r="118" spans="1:16" x14ac:dyDescent="0.3">
      <c r="A118" s="44"/>
      <c r="B118" s="86" t="s">
        <v>308</v>
      </c>
      <c r="C118" s="11" t="s">
        <v>290</v>
      </c>
      <c r="D118" s="120"/>
      <c r="E118" s="120"/>
      <c r="F118" s="120"/>
      <c r="G118" s="14"/>
      <c r="H118" s="104">
        <v>70</v>
      </c>
      <c r="I118" s="104">
        <v>5</v>
      </c>
      <c r="J118" s="104" t="s">
        <v>89</v>
      </c>
      <c r="K118" s="104">
        <v>9</v>
      </c>
    </row>
    <row r="119" spans="1:16" x14ac:dyDescent="0.3">
      <c r="A119" s="44"/>
      <c r="B119" s="330"/>
      <c r="C119" s="320"/>
      <c r="D119" s="117"/>
      <c r="E119" s="117"/>
      <c r="F119" s="117"/>
      <c r="G119" s="8"/>
      <c r="H119" s="332"/>
      <c r="I119" s="332"/>
      <c r="J119" s="332"/>
      <c r="K119" s="332"/>
      <c r="L119" s="320"/>
      <c r="M119" s="320"/>
      <c r="N119" s="320"/>
      <c r="O119" s="320"/>
      <c r="P119" s="320"/>
    </row>
    <row r="120" spans="1:16" x14ac:dyDescent="0.3">
      <c r="A120" s="44"/>
      <c r="B120" s="338"/>
      <c r="C120" s="319"/>
      <c r="D120" s="120"/>
      <c r="E120" s="120"/>
      <c r="F120" s="120"/>
      <c r="G120" s="14"/>
      <c r="H120" s="333"/>
      <c r="I120" s="333"/>
      <c r="J120" s="333"/>
      <c r="K120" s="333"/>
      <c r="L120" s="334"/>
      <c r="M120" s="334"/>
      <c r="N120" s="334"/>
      <c r="O120" s="334"/>
      <c r="P120" s="334"/>
    </row>
    <row r="121" spans="1:16" x14ac:dyDescent="0.3">
      <c r="A121" s="44"/>
      <c r="B121" s="88"/>
      <c r="C121" s="13" t="s">
        <v>291</v>
      </c>
      <c r="D121" s="122"/>
      <c r="E121" s="122"/>
      <c r="F121" s="122"/>
      <c r="G121" s="14"/>
      <c r="H121" s="331"/>
      <c r="I121" s="331"/>
      <c r="J121" s="331"/>
      <c r="K121" s="331"/>
      <c r="L121" s="334"/>
      <c r="M121" s="334"/>
      <c r="N121" s="334"/>
      <c r="O121" s="334"/>
      <c r="P121" s="334"/>
    </row>
    <row r="122" spans="1:16" ht="15.6" x14ac:dyDescent="0.3">
      <c r="A122" s="69" t="s">
        <v>309</v>
      </c>
      <c r="C122" s="107" t="s">
        <v>42</v>
      </c>
      <c r="D122" s="127"/>
      <c r="E122" s="127"/>
      <c r="F122" s="128"/>
      <c r="G122" s="28"/>
      <c r="H122" s="104">
        <v>70</v>
      </c>
      <c r="I122" s="104">
        <v>5</v>
      </c>
      <c r="J122" s="104" t="s">
        <v>89</v>
      </c>
      <c r="K122" s="104">
        <v>9</v>
      </c>
      <c r="M122" s="104">
        <v>77</v>
      </c>
      <c r="N122" s="104">
        <v>6</v>
      </c>
      <c r="O122" t="s">
        <v>446</v>
      </c>
      <c r="P122" s="104">
        <v>4</v>
      </c>
    </row>
    <row r="123" spans="1:16" x14ac:dyDescent="0.3">
      <c r="A123" s="44"/>
      <c r="B123" s="86" t="s">
        <v>310</v>
      </c>
      <c r="C123" t="s">
        <v>311</v>
      </c>
      <c r="D123" s="116"/>
      <c r="E123" s="116"/>
      <c r="F123" s="116"/>
      <c r="G123" s="14"/>
      <c r="H123" s="104">
        <v>70</v>
      </c>
      <c r="I123" s="104">
        <v>5</v>
      </c>
      <c r="J123" s="104" t="s">
        <v>89</v>
      </c>
      <c r="K123" s="104">
        <v>9</v>
      </c>
    </row>
    <row r="124" spans="1:16" x14ac:dyDescent="0.3">
      <c r="A124" s="44"/>
      <c r="B124" s="87" t="s">
        <v>312</v>
      </c>
      <c r="C124" s="10" t="s">
        <v>313</v>
      </c>
      <c r="D124" s="117"/>
      <c r="E124" s="117"/>
      <c r="F124" s="117"/>
      <c r="G124" s="14"/>
      <c r="H124" s="276">
        <v>70</v>
      </c>
      <c r="I124" s="276">
        <v>5</v>
      </c>
      <c r="J124" s="276" t="s">
        <v>89</v>
      </c>
      <c r="K124" s="276">
        <v>9</v>
      </c>
      <c r="L124" s="10"/>
      <c r="M124" s="10"/>
      <c r="N124" s="10"/>
      <c r="O124" s="10"/>
      <c r="P124" s="10"/>
    </row>
    <row r="125" spans="1:16" x14ac:dyDescent="0.3">
      <c r="A125" s="44"/>
      <c r="B125" s="86" t="s">
        <v>314</v>
      </c>
      <c r="C125" t="s">
        <v>315</v>
      </c>
      <c r="D125" s="116"/>
      <c r="E125" s="116"/>
      <c r="F125" s="116"/>
      <c r="G125" s="14"/>
      <c r="H125" s="104">
        <v>71</v>
      </c>
      <c r="I125" s="104">
        <v>5</v>
      </c>
      <c r="J125" s="104" t="s">
        <v>89</v>
      </c>
      <c r="K125" s="104">
        <v>10</v>
      </c>
    </row>
    <row r="126" spans="1:16" x14ac:dyDescent="0.3">
      <c r="A126" s="44"/>
      <c r="B126" s="87" t="s">
        <v>316</v>
      </c>
      <c r="C126" s="10" t="s">
        <v>40</v>
      </c>
      <c r="D126" s="117"/>
      <c r="E126" s="117"/>
      <c r="F126" s="117"/>
      <c r="G126" s="14"/>
      <c r="H126" s="276">
        <v>71</v>
      </c>
      <c r="I126" s="276">
        <v>5</v>
      </c>
      <c r="J126" s="276" t="s">
        <v>89</v>
      </c>
      <c r="K126" s="276">
        <v>10</v>
      </c>
      <c r="L126" s="10"/>
      <c r="M126" s="10"/>
      <c r="N126" s="10"/>
      <c r="O126" s="10"/>
      <c r="P126" s="10"/>
    </row>
    <row r="127" spans="1:16" x14ac:dyDescent="0.3">
      <c r="A127" s="44"/>
      <c r="B127" s="106" t="s">
        <v>317</v>
      </c>
      <c r="C127" s="11" t="s">
        <v>41</v>
      </c>
      <c r="D127" s="120"/>
      <c r="E127" s="120"/>
      <c r="F127" s="120"/>
      <c r="G127" s="14"/>
      <c r="H127" s="104">
        <v>71</v>
      </c>
      <c r="I127" s="104">
        <v>5</v>
      </c>
      <c r="J127" s="104" t="s">
        <v>89</v>
      </c>
      <c r="K127" s="104">
        <v>10</v>
      </c>
    </row>
    <row r="128" spans="1:16" x14ac:dyDescent="0.3">
      <c r="A128" s="44"/>
      <c r="B128" s="87" t="s">
        <v>319</v>
      </c>
      <c r="C128" s="10" t="s">
        <v>318</v>
      </c>
      <c r="D128" s="117"/>
      <c r="E128" s="117"/>
      <c r="F128" s="117"/>
      <c r="G128" s="14"/>
      <c r="H128" s="276">
        <v>71</v>
      </c>
      <c r="I128" s="276">
        <v>5</v>
      </c>
      <c r="J128" s="276" t="s">
        <v>89</v>
      </c>
      <c r="K128" s="276">
        <v>10</v>
      </c>
      <c r="L128" s="10"/>
      <c r="M128" s="10"/>
      <c r="N128" s="10"/>
      <c r="O128" s="10"/>
      <c r="P128" s="10"/>
    </row>
    <row r="129" spans="1:16" x14ac:dyDescent="0.3">
      <c r="A129" s="44"/>
      <c r="B129" s="329"/>
      <c r="C129" s="319"/>
      <c r="D129" s="120"/>
      <c r="E129" s="120"/>
      <c r="F129" s="120"/>
      <c r="G129" s="14"/>
      <c r="H129" s="331"/>
      <c r="I129" s="331"/>
      <c r="J129" s="331"/>
      <c r="K129" s="331"/>
      <c r="L129" s="319"/>
      <c r="M129" s="319"/>
      <c r="N129" s="319"/>
      <c r="O129" s="319"/>
      <c r="P129" s="319"/>
    </row>
    <row r="130" spans="1:16" x14ac:dyDescent="0.3">
      <c r="A130" s="44"/>
      <c r="B130" s="330"/>
      <c r="C130" s="320"/>
      <c r="D130" s="117"/>
      <c r="E130" s="117"/>
      <c r="F130" s="117"/>
      <c r="G130" s="14"/>
      <c r="H130" s="332"/>
      <c r="I130" s="332"/>
      <c r="J130" s="332"/>
      <c r="K130" s="332"/>
      <c r="L130" s="320"/>
      <c r="M130" s="320"/>
      <c r="N130" s="320"/>
      <c r="O130" s="320"/>
      <c r="P130" s="320"/>
    </row>
    <row r="131" spans="1:16" x14ac:dyDescent="0.3">
      <c r="A131" s="44"/>
      <c r="B131" s="88"/>
      <c r="C131" s="4" t="s">
        <v>320</v>
      </c>
      <c r="D131" s="118"/>
      <c r="E131" s="118"/>
      <c r="F131" s="118"/>
      <c r="G131" s="14"/>
      <c r="H131" s="331"/>
      <c r="I131" s="331"/>
      <c r="J131" s="331"/>
      <c r="K131" s="331"/>
      <c r="L131" s="334"/>
      <c r="M131" s="334"/>
      <c r="N131" s="334"/>
      <c r="O131" s="334"/>
      <c r="P131" s="334"/>
    </row>
    <row r="132" spans="1:16" ht="15.6" x14ac:dyDescent="0.3">
      <c r="A132" s="77" t="s">
        <v>199</v>
      </c>
      <c r="C132" s="54" t="s">
        <v>50</v>
      </c>
      <c r="D132" s="129"/>
      <c r="E132" s="129"/>
      <c r="F132" s="129"/>
      <c r="G132" s="28"/>
      <c r="H132" s="104">
        <v>71</v>
      </c>
      <c r="I132" s="104">
        <v>5</v>
      </c>
      <c r="J132" s="104" t="s">
        <v>89</v>
      </c>
      <c r="K132" s="104">
        <v>10</v>
      </c>
      <c r="M132" s="104">
        <v>77</v>
      </c>
      <c r="N132" s="104">
        <v>6</v>
      </c>
      <c r="O132" t="s">
        <v>446</v>
      </c>
      <c r="P132" s="104">
        <v>4</v>
      </c>
    </row>
    <row r="133" spans="1:16" ht="15.6" x14ac:dyDescent="0.3">
      <c r="A133" s="98"/>
      <c r="B133" s="97"/>
      <c r="C133" s="130" t="s">
        <v>395</v>
      </c>
      <c r="D133" s="146">
        <f>SUM(D87:D132)</f>
        <v>0</v>
      </c>
      <c r="E133" s="146">
        <f t="shared" ref="E133:F133" si="2">SUM(E87:E132)</f>
        <v>0</v>
      </c>
      <c r="F133" s="146">
        <f t="shared" si="2"/>
        <v>0</v>
      </c>
      <c r="G133" s="28"/>
      <c r="H133" s="104"/>
      <c r="I133" s="104"/>
      <c r="J133" s="104"/>
      <c r="K133" s="104"/>
    </row>
    <row r="134" spans="1:16" ht="18" x14ac:dyDescent="0.35">
      <c r="A134" s="405" t="s">
        <v>321</v>
      </c>
      <c r="B134" s="406"/>
      <c r="C134" s="406"/>
      <c r="D134" s="406"/>
      <c r="E134" s="406"/>
      <c r="F134" s="407"/>
      <c r="G134" s="32"/>
      <c r="H134" s="104">
        <v>71</v>
      </c>
      <c r="I134" s="104">
        <v>5</v>
      </c>
      <c r="J134" s="104" t="s">
        <v>89</v>
      </c>
      <c r="K134" s="104">
        <v>10</v>
      </c>
      <c r="M134" s="104">
        <v>77</v>
      </c>
      <c r="N134" s="104">
        <v>6</v>
      </c>
      <c r="O134" t="s">
        <v>446</v>
      </c>
      <c r="P134" s="104">
        <v>4</v>
      </c>
    </row>
    <row r="135" spans="1:16" ht="15.6" x14ac:dyDescent="0.3">
      <c r="A135" s="77" t="s">
        <v>188</v>
      </c>
      <c r="B135" s="11"/>
      <c r="C135" s="54" t="s">
        <v>51</v>
      </c>
      <c r="D135" s="119"/>
      <c r="E135" s="119"/>
      <c r="F135" s="119"/>
      <c r="G135" s="28"/>
      <c r="H135" s="104">
        <v>71</v>
      </c>
      <c r="I135" s="104">
        <v>5</v>
      </c>
      <c r="J135" s="104" t="s">
        <v>89</v>
      </c>
      <c r="K135" s="104">
        <v>10</v>
      </c>
      <c r="M135" s="104">
        <v>77</v>
      </c>
      <c r="N135" s="104">
        <v>6</v>
      </c>
      <c r="O135" t="s">
        <v>446</v>
      </c>
      <c r="P135" s="104">
        <v>4</v>
      </c>
    </row>
    <row r="136" spans="1:16" ht="15.6" x14ac:dyDescent="0.3">
      <c r="A136" s="85"/>
      <c r="B136" s="106" t="s">
        <v>267</v>
      </c>
      <c r="C136" s="54" t="s">
        <v>323</v>
      </c>
      <c r="D136" s="120"/>
      <c r="E136" s="120"/>
      <c r="F136" s="120"/>
      <c r="G136" s="28"/>
      <c r="H136" s="104">
        <v>71</v>
      </c>
      <c r="I136" s="104">
        <v>5</v>
      </c>
      <c r="J136" s="104" t="s">
        <v>89</v>
      </c>
      <c r="K136" s="104">
        <v>10</v>
      </c>
    </row>
    <row r="137" spans="1:16" ht="15.6" x14ac:dyDescent="0.3">
      <c r="A137" s="85"/>
      <c r="B137" s="87" t="s">
        <v>269</v>
      </c>
      <c r="C137" s="78" t="s">
        <v>322</v>
      </c>
      <c r="D137" s="117"/>
      <c r="E137" s="117"/>
      <c r="F137" s="117"/>
      <c r="G137" s="28"/>
      <c r="H137" s="276">
        <v>71</v>
      </c>
      <c r="I137" s="276">
        <v>5</v>
      </c>
      <c r="J137" s="276" t="s">
        <v>89</v>
      </c>
      <c r="K137" s="276">
        <v>10</v>
      </c>
      <c r="L137" s="10"/>
      <c r="M137" s="10"/>
      <c r="N137" s="10"/>
      <c r="O137" s="10"/>
      <c r="P137" s="10"/>
    </row>
    <row r="138" spans="1:16" ht="15.6" x14ac:dyDescent="0.3">
      <c r="A138" s="85"/>
      <c r="B138" s="106" t="s">
        <v>275</v>
      </c>
      <c r="C138" s="54" t="s">
        <v>324</v>
      </c>
      <c r="D138" s="120"/>
      <c r="E138" s="120"/>
      <c r="F138" s="120"/>
      <c r="G138" s="28"/>
      <c r="H138" s="104">
        <v>71</v>
      </c>
      <c r="I138" s="104">
        <v>5</v>
      </c>
      <c r="J138" s="104" t="s">
        <v>89</v>
      </c>
      <c r="K138" s="104">
        <v>10</v>
      </c>
    </row>
    <row r="139" spans="1:16" ht="15.6" x14ac:dyDescent="0.3">
      <c r="A139" s="85"/>
      <c r="B139" s="44"/>
      <c r="C139" s="78" t="s">
        <v>325</v>
      </c>
      <c r="D139" s="117"/>
      <c r="E139" s="117"/>
      <c r="F139" s="117"/>
      <c r="G139" s="28"/>
      <c r="H139" s="331"/>
      <c r="I139" s="331"/>
      <c r="J139" s="331"/>
      <c r="K139" s="331"/>
      <c r="L139" s="334"/>
      <c r="M139" s="334"/>
      <c r="N139" s="334"/>
      <c r="O139" s="334"/>
      <c r="P139" s="334"/>
    </row>
    <row r="140" spans="1:16" ht="15.6" x14ac:dyDescent="0.3">
      <c r="A140" s="77" t="s">
        <v>189</v>
      </c>
      <c r="C140" s="54" t="s">
        <v>52</v>
      </c>
      <c r="D140" s="120"/>
      <c r="E140" s="120"/>
      <c r="F140" s="120"/>
      <c r="G140" s="28"/>
      <c r="H140" s="104">
        <v>71</v>
      </c>
      <c r="I140" s="104">
        <v>5</v>
      </c>
      <c r="J140" s="104" t="s">
        <v>89</v>
      </c>
      <c r="K140" s="104">
        <v>10</v>
      </c>
      <c r="M140" s="104">
        <v>77</v>
      </c>
      <c r="N140" s="104">
        <v>6</v>
      </c>
      <c r="O140" t="s">
        <v>446</v>
      </c>
      <c r="P140" s="104">
        <v>4</v>
      </c>
    </row>
    <row r="141" spans="1:16" ht="15.6" x14ac:dyDescent="0.3">
      <c r="A141" s="76" t="s">
        <v>191</v>
      </c>
      <c r="B141" s="230"/>
      <c r="C141" s="78" t="s">
        <v>326</v>
      </c>
      <c r="D141" s="117"/>
      <c r="E141" s="117"/>
      <c r="F141" s="117"/>
      <c r="G141" s="28"/>
      <c r="H141" s="276">
        <v>71</v>
      </c>
      <c r="I141" s="276">
        <v>5</v>
      </c>
      <c r="J141" s="276" t="s">
        <v>89</v>
      </c>
      <c r="K141" s="276">
        <v>10</v>
      </c>
      <c r="L141" s="10"/>
      <c r="M141" s="276">
        <v>77</v>
      </c>
      <c r="N141" s="276">
        <v>6</v>
      </c>
      <c r="O141" s="10" t="s">
        <v>446</v>
      </c>
      <c r="P141" s="276">
        <v>4</v>
      </c>
    </row>
    <row r="142" spans="1:16" ht="15.6" x14ac:dyDescent="0.3">
      <c r="A142" s="77" t="s">
        <v>200</v>
      </c>
      <c r="B142" s="312"/>
      <c r="C142" s="54" t="s">
        <v>327</v>
      </c>
      <c r="D142" s="120"/>
      <c r="E142" s="120"/>
      <c r="F142" s="120"/>
      <c r="G142" s="28"/>
      <c r="H142" s="104">
        <v>71</v>
      </c>
      <c r="I142" s="104">
        <v>5</v>
      </c>
      <c r="J142" s="104" t="s">
        <v>89</v>
      </c>
      <c r="K142" s="104">
        <v>10</v>
      </c>
      <c r="M142" s="104">
        <v>77</v>
      </c>
      <c r="N142" s="104">
        <v>6</v>
      </c>
      <c r="O142" t="s">
        <v>446</v>
      </c>
      <c r="P142" s="104">
        <v>4</v>
      </c>
    </row>
    <row r="143" spans="1:16" ht="15.6" x14ac:dyDescent="0.3">
      <c r="A143" s="321"/>
      <c r="B143" s="322"/>
      <c r="C143" s="323"/>
      <c r="D143" s="117"/>
      <c r="E143" s="117"/>
      <c r="F143" s="117"/>
      <c r="G143" s="339"/>
      <c r="H143" s="332"/>
      <c r="I143" s="332"/>
      <c r="J143" s="332"/>
      <c r="K143" s="332"/>
      <c r="L143" s="320"/>
      <c r="M143" s="332"/>
      <c r="N143" s="332"/>
      <c r="O143" s="320"/>
      <c r="P143" s="332"/>
    </row>
    <row r="144" spans="1:16" ht="15.6" x14ac:dyDescent="0.3">
      <c r="A144" s="324"/>
      <c r="B144" s="325"/>
      <c r="C144" s="326"/>
      <c r="D144" s="120"/>
      <c r="E144" s="120"/>
      <c r="F144" s="120"/>
      <c r="G144" s="339"/>
      <c r="H144" s="333"/>
      <c r="I144" s="333"/>
      <c r="J144" s="333"/>
      <c r="K144" s="333"/>
      <c r="L144" s="334"/>
      <c r="M144" s="333"/>
      <c r="N144" s="333"/>
      <c r="O144" s="334"/>
      <c r="P144" s="333"/>
    </row>
    <row r="145" spans="1:16" ht="15" customHeight="1" x14ac:dyDescent="0.3">
      <c r="A145" s="327"/>
      <c r="B145" s="328"/>
      <c r="C145" s="130" t="s">
        <v>396</v>
      </c>
      <c r="D145" s="146">
        <f>SUM(D135:D144)</f>
        <v>0</v>
      </c>
      <c r="E145" s="146">
        <f>SUM(E135:E144)</f>
        <v>0</v>
      </c>
      <c r="F145" s="146">
        <f>SUM(F135:F144)</f>
        <v>0</v>
      </c>
      <c r="H145" s="331"/>
      <c r="I145" s="331"/>
      <c r="J145" s="331"/>
      <c r="K145" s="331"/>
      <c r="L145" s="334"/>
      <c r="M145" s="334"/>
      <c r="N145" s="334"/>
      <c r="O145" s="334"/>
      <c r="P145" s="334"/>
    </row>
    <row r="146" spans="1:16" ht="18" x14ac:dyDescent="0.35">
      <c r="A146" s="405" t="s">
        <v>328</v>
      </c>
      <c r="B146" s="406"/>
      <c r="C146" s="406"/>
      <c r="D146" s="406"/>
      <c r="E146" s="406"/>
      <c r="F146" s="407"/>
      <c r="G146" s="32"/>
      <c r="H146" s="81"/>
      <c r="I146" s="81"/>
      <c r="J146" s="81"/>
      <c r="K146" s="81"/>
      <c r="M146" s="104">
        <v>77</v>
      </c>
      <c r="N146" s="104">
        <v>6</v>
      </c>
      <c r="O146" t="s">
        <v>446</v>
      </c>
      <c r="P146" s="104">
        <v>4</v>
      </c>
    </row>
    <row r="147" spans="1:16" ht="15.6" x14ac:dyDescent="0.3">
      <c r="A147" s="69" t="s">
        <v>188</v>
      </c>
      <c r="C147" s="103" t="s">
        <v>53</v>
      </c>
      <c r="D147" s="131"/>
      <c r="E147" s="131"/>
      <c r="F147" s="132"/>
      <c r="G147" s="28"/>
      <c r="H147" s="104">
        <v>72</v>
      </c>
      <c r="I147" s="104">
        <v>5</v>
      </c>
      <c r="J147" s="104" t="s">
        <v>89</v>
      </c>
      <c r="K147" s="104">
        <v>11</v>
      </c>
      <c r="M147" s="104">
        <v>77</v>
      </c>
      <c r="N147" s="104">
        <v>6</v>
      </c>
      <c r="O147" t="s">
        <v>446</v>
      </c>
      <c r="P147" s="104">
        <v>4</v>
      </c>
    </row>
    <row r="148" spans="1:16" x14ac:dyDescent="0.3">
      <c r="B148" s="86" t="s">
        <v>188</v>
      </c>
      <c r="C148" t="s">
        <v>329</v>
      </c>
      <c r="D148" s="116"/>
      <c r="E148" s="116"/>
      <c r="F148" s="116"/>
      <c r="G148" s="14"/>
      <c r="H148" s="104">
        <v>72</v>
      </c>
      <c r="I148" s="104">
        <v>5</v>
      </c>
      <c r="J148" s="104" t="s">
        <v>89</v>
      </c>
      <c r="K148" s="104">
        <v>11</v>
      </c>
    </row>
    <row r="149" spans="1:16" x14ac:dyDescent="0.3">
      <c r="B149" s="87" t="s">
        <v>269</v>
      </c>
      <c r="C149" s="10" t="s">
        <v>448</v>
      </c>
      <c r="D149" s="117"/>
      <c r="E149" s="117"/>
      <c r="F149" s="117"/>
      <c r="G149" s="14"/>
      <c r="H149" s="276">
        <v>72</v>
      </c>
      <c r="I149" s="276">
        <v>5</v>
      </c>
      <c r="J149" s="276" t="s">
        <v>89</v>
      </c>
      <c r="K149" s="276">
        <v>11</v>
      </c>
      <c r="L149" s="10"/>
      <c r="M149" s="10"/>
      <c r="N149" s="10"/>
      <c r="O149" s="10"/>
      <c r="P149" s="10"/>
    </row>
    <row r="150" spans="1:16" ht="15.6" x14ac:dyDescent="0.3">
      <c r="A150" s="77" t="s">
        <v>189</v>
      </c>
      <c r="B150" s="2"/>
      <c r="C150" s="54" t="s">
        <v>54</v>
      </c>
      <c r="D150" s="120"/>
      <c r="E150" s="120"/>
      <c r="F150" s="120"/>
      <c r="G150" s="28"/>
      <c r="H150" s="104">
        <v>72</v>
      </c>
      <c r="I150" s="104">
        <v>5</v>
      </c>
      <c r="J150" s="104" t="s">
        <v>89</v>
      </c>
      <c r="K150" s="104">
        <v>11</v>
      </c>
      <c r="M150" s="104">
        <v>78</v>
      </c>
      <c r="N150" s="104">
        <v>6</v>
      </c>
      <c r="O150" t="s">
        <v>446</v>
      </c>
      <c r="P150" s="104">
        <v>5</v>
      </c>
    </row>
    <row r="151" spans="1:16" ht="15.6" x14ac:dyDescent="0.3">
      <c r="A151" s="69" t="s">
        <v>309</v>
      </c>
      <c r="C151" s="103" t="s">
        <v>55</v>
      </c>
      <c r="D151" s="131"/>
      <c r="E151" s="131"/>
      <c r="F151" s="132"/>
      <c r="G151" s="28"/>
      <c r="H151" s="104">
        <v>72</v>
      </c>
      <c r="I151" s="104">
        <v>5</v>
      </c>
      <c r="J151" s="104" t="s">
        <v>89</v>
      </c>
      <c r="K151" s="104">
        <v>11</v>
      </c>
      <c r="M151" s="104">
        <v>78</v>
      </c>
      <c r="N151" s="104">
        <v>6</v>
      </c>
      <c r="O151" t="s">
        <v>446</v>
      </c>
      <c r="P151" s="104">
        <v>5</v>
      </c>
    </row>
    <row r="152" spans="1:16" x14ac:dyDescent="0.3">
      <c r="B152" s="86" t="s">
        <v>310</v>
      </c>
      <c r="C152" t="s">
        <v>330</v>
      </c>
      <c r="D152" s="116"/>
      <c r="E152" s="116"/>
      <c r="F152" s="116"/>
      <c r="G152" s="14"/>
      <c r="H152" s="104">
        <v>72</v>
      </c>
      <c r="I152" s="104">
        <v>5</v>
      </c>
      <c r="J152" s="104" t="s">
        <v>89</v>
      </c>
      <c r="K152" s="104">
        <v>11</v>
      </c>
    </row>
    <row r="153" spans="1:16" x14ac:dyDescent="0.3">
      <c r="B153" s="87" t="s">
        <v>331</v>
      </c>
      <c r="C153" s="10" t="s">
        <v>56</v>
      </c>
      <c r="D153" s="117"/>
      <c r="E153" s="117"/>
      <c r="F153" s="117"/>
      <c r="G153" s="14"/>
      <c r="H153" s="276">
        <v>72</v>
      </c>
      <c r="I153" s="276">
        <v>5</v>
      </c>
      <c r="J153" s="276" t="s">
        <v>89</v>
      </c>
      <c r="K153" s="276">
        <v>11</v>
      </c>
      <c r="L153" s="10"/>
      <c r="M153" s="10"/>
      <c r="N153" s="10"/>
      <c r="O153" s="10"/>
      <c r="P153" s="10"/>
    </row>
    <row r="154" spans="1:16" x14ac:dyDescent="0.3">
      <c r="B154" s="86" t="s">
        <v>333</v>
      </c>
      <c r="C154" t="s">
        <v>332</v>
      </c>
      <c r="D154" s="116"/>
      <c r="E154" s="116"/>
      <c r="F154" s="116"/>
      <c r="G154" s="14"/>
      <c r="H154" s="104">
        <v>72</v>
      </c>
      <c r="I154" s="104">
        <v>5</v>
      </c>
      <c r="J154" s="104" t="s">
        <v>89</v>
      </c>
      <c r="K154" s="104">
        <v>11</v>
      </c>
    </row>
    <row r="155" spans="1:16" x14ac:dyDescent="0.3">
      <c r="B155" s="87" t="s">
        <v>316</v>
      </c>
      <c r="C155" s="10" t="s">
        <v>334</v>
      </c>
      <c r="D155" s="117"/>
      <c r="E155" s="117"/>
      <c r="F155" s="117"/>
      <c r="G155" s="14"/>
      <c r="H155" s="276">
        <v>72</v>
      </c>
      <c r="I155" s="276">
        <v>5</v>
      </c>
      <c r="J155" s="276" t="s">
        <v>89</v>
      </c>
      <c r="K155" s="276">
        <v>11</v>
      </c>
      <c r="L155" s="10"/>
      <c r="M155" s="10"/>
      <c r="N155" s="10"/>
      <c r="O155" s="10"/>
      <c r="P155" s="10"/>
    </row>
    <row r="156" spans="1:16" x14ac:dyDescent="0.3">
      <c r="B156" s="86" t="s">
        <v>335</v>
      </c>
      <c r="C156" t="s">
        <v>336</v>
      </c>
      <c r="D156" s="116"/>
      <c r="E156" s="116"/>
      <c r="F156" s="116"/>
      <c r="G156" s="14"/>
      <c r="H156" s="104">
        <v>72</v>
      </c>
      <c r="I156" s="104">
        <v>5</v>
      </c>
      <c r="J156" s="104" t="s">
        <v>89</v>
      </c>
      <c r="K156" s="104">
        <v>11</v>
      </c>
    </row>
    <row r="157" spans="1:16" x14ac:dyDescent="0.3">
      <c r="B157" s="87" t="s">
        <v>317</v>
      </c>
      <c r="C157" s="10" t="s">
        <v>57</v>
      </c>
      <c r="D157" s="117"/>
      <c r="E157" s="117"/>
      <c r="F157" s="117"/>
      <c r="G157" s="14"/>
      <c r="H157" s="276">
        <v>72</v>
      </c>
      <c r="I157" s="276">
        <v>5</v>
      </c>
      <c r="J157" s="276" t="s">
        <v>89</v>
      </c>
      <c r="K157" s="276">
        <v>11</v>
      </c>
      <c r="L157" s="10"/>
      <c r="M157" s="10"/>
      <c r="N157" s="10"/>
      <c r="O157" s="10"/>
      <c r="P157" s="10"/>
    </row>
    <row r="158" spans="1:16" x14ac:dyDescent="0.3">
      <c r="B158" s="106" t="s">
        <v>319</v>
      </c>
      <c r="C158" s="11" t="s">
        <v>337</v>
      </c>
      <c r="D158" s="120"/>
      <c r="E158" s="120"/>
      <c r="F158" s="120"/>
      <c r="G158" s="14"/>
      <c r="H158" s="104">
        <v>72</v>
      </c>
      <c r="I158" s="104">
        <v>5</v>
      </c>
      <c r="J158" s="104" t="s">
        <v>89</v>
      </c>
      <c r="K158" s="104">
        <v>11</v>
      </c>
    </row>
    <row r="159" spans="1:16" x14ac:dyDescent="0.3">
      <c r="B159" s="87" t="s">
        <v>338</v>
      </c>
      <c r="C159" s="10" t="s">
        <v>324</v>
      </c>
      <c r="D159" s="117"/>
      <c r="E159" s="117"/>
      <c r="F159" s="117"/>
      <c r="G159" s="14"/>
      <c r="H159" s="276">
        <v>72</v>
      </c>
      <c r="I159" s="276">
        <v>5</v>
      </c>
      <c r="J159" s="276" t="s">
        <v>89</v>
      </c>
      <c r="K159" s="276">
        <v>11</v>
      </c>
      <c r="L159" s="10"/>
      <c r="M159" s="10"/>
      <c r="N159" s="10"/>
      <c r="O159" s="10"/>
      <c r="P159" s="10"/>
    </row>
    <row r="160" spans="1:16" x14ac:dyDescent="0.3">
      <c r="B160" s="106" t="s">
        <v>339</v>
      </c>
      <c r="C160" s="11" t="s">
        <v>58</v>
      </c>
      <c r="D160" s="120"/>
      <c r="E160" s="120"/>
      <c r="F160" s="120"/>
      <c r="G160" s="14"/>
      <c r="H160" s="104">
        <v>72</v>
      </c>
      <c r="I160" s="104">
        <v>5</v>
      </c>
      <c r="J160" s="104" t="s">
        <v>89</v>
      </c>
      <c r="K160" s="104">
        <v>11</v>
      </c>
    </row>
    <row r="161" spans="1:16" x14ac:dyDescent="0.3">
      <c r="B161" s="87" t="s">
        <v>341</v>
      </c>
      <c r="C161" s="10" t="s">
        <v>340</v>
      </c>
      <c r="D161" s="117"/>
      <c r="E161" s="117"/>
      <c r="F161" s="117"/>
      <c r="G161" s="14"/>
      <c r="H161" s="276">
        <v>72</v>
      </c>
      <c r="I161" s="276">
        <v>5</v>
      </c>
      <c r="J161" s="276" t="s">
        <v>89</v>
      </c>
      <c r="K161" s="276">
        <v>11</v>
      </c>
      <c r="L161" s="10"/>
      <c r="M161" s="10"/>
      <c r="N161" s="10"/>
      <c r="O161" s="10"/>
      <c r="P161" s="10"/>
    </row>
    <row r="162" spans="1:16" x14ac:dyDescent="0.3">
      <c r="B162" s="106" t="s">
        <v>343</v>
      </c>
      <c r="C162" s="11" t="s">
        <v>342</v>
      </c>
      <c r="D162" s="120"/>
      <c r="E162" s="120"/>
      <c r="F162" s="120"/>
      <c r="G162" s="14"/>
      <c r="H162" s="104">
        <v>72</v>
      </c>
      <c r="I162" s="104">
        <v>5</v>
      </c>
      <c r="J162" s="104" t="s">
        <v>89</v>
      </c>
      <c r="K162" s="104">
        <v>11</v>
      </c>
    </row>
    <row r="163" spans="1:16" x14ac:dyDescent="0.3">
      <c r="B163" s="87" t="s">
        <v>191</v>
      </c>
      <c r="C163" s="10" t="s">
        <v>344</v>
      </c>
      <c r="D163" s="117"/>
      <c r="E163" s="117"/>
      <c r="F163" s="117"/>
      <c r="G163" s="14"/>
      <c r="H163" s="276">
        <v>72</v>
      </c>
      <c r="I163" s="276">
        <v>5</v>
      </c>
      <c r="J163" s="276" t="s">
        <v>89</v>
      </c>
      <c r="K163" s="276">
        <v>11</v>
      </c>
      <c r="L163" s="10"/>
      <c r="M163" s="10"/>
      <c r="N163" s="10"/>
      <c r="O163" s="10"/>
      <c r="P163" s="10"/>
    </row>
    <row r="164" spans="1:16" x14ac:dyDescent="0.3">
      <c r="B164" s="106" t="s">
        <v>193</v>
      </c>
      <c r="C164" s="11" t="s">
        <v>345</v>
      </c>
      <c r="D164" s="120"/>
      <c r="E164" s="120"/>
      <c r="F164" s="120"/>
      <c r="G164" s="14"/>
      <c r="H164" s="104">
        <v>72</v>
      </c>
      <c r="I164" s="104">
        <v>5</v>
      </c>
      <c r="J164" s="104" t="s">
        <v>89</v>
      </c>
      <c r="K164" s="104">
        <v>11</v>
      </c>
    </row>
    <row r="165" spans="1:16" x14ac:dyDescent="0.3">
      <c r="B165" s="87" t="s">
        <v>194</v>
      </c>
      <c r="C165" s="10" t="s">
        <v>346</v>
      </c>
      <c r="D165" s="117"/>
      <c r="E165" s="117"/>
      <c r="F165" s="117"/>
      <c r="G165" s="14"/>
      <c r="H165" s="276">
        <v>72</v>
      </c>
      <c r="I165" s="276">
        <v>5</v>
      </c>
      <c r="J165" s="276" t="s">
        <v>89</v>
      </c>
      <c r="K165" s="276">
        <v>11</v>
      </c>
      <c r="L165" s="10"/>
      <c r="M165" s="10"/>
      <c r="N165" s="10"/>
      <c r="O165" s="10"/>
      <c r="P165" s="10"/>
    </row>
    <row r="166" spans="1:16" x14ac:dyDescent="0.3">
      <c r="B166" s="106" t="s">
        <v>197</v>
      </c>
      <c r="C166" s="11" t="s">
        <v>347</v>
      </c>
      <c r="D166" s="120"/>
      <c r="E166" s="120"/>
      <c r="F166" s="120"/>
      <c r="G166" s="14"/>
      <c r="H166" s="104">
        <v>72</v>
      </c>
      <c r="I166" s="104">
        <v>5</v>
      </c>
      <c r="J166" s="104" t="s">
        <v>89</v>
      </c>
      <c r="K166" s="104">
        <v>11</v>
      </c>
    </row>
    <row r="167" spans="1:16" x14ac:dyDescent="0.3">
      <c r="B167" s="87" t="s">
        <v>351</v>
      </c>
      <c r="C167" s="10" t="s">
        <v>348</v>
      </c>
      <c r="D167" s="117"/>
      <c r="E167" s="117"/>
      <c r="F167" s="117"/>
      <c r="G167" s="14"/>
      <c r="H167" s="276">
        <v>72</v>
      </c>
      <c r="I167" s="276">
        <v>5</v>
      </c>
      <c r="J167" s="276" t="s">
        <v>89</v>
      </c>
      <c r="K167" s="276">
        <v>11</v>
      </c>
      <c r="L167" s="10"/>
      <c r="M167" s="10"/>
      <c r="N167" s="10"/>
      <c r="O167" s="10"/>
      <c r="P167" s="10"/>
    </row>
    <row r="168" spans="1:16" x14ac:dyDescent="0.3">
      <c r="B168" s="106" t="s">
        <v>352</v>
      </c>
      <c r="C168" s="11" t="s">
        <v>349</v>
      </c>
      <c r="D168" s="120"/>
      <c r="E168" s="120"/>
      <c r="F168" s="120"/>
      <c r="G168" s="14"/>
      <c r="H168" s="104">
        <v>72</v>
      </c>
      <c r="I168" s="104">
        <v>5</v>
      </c>
      <c r="J168" s="104" t="s">
        <v>89</v>
      </c>
      <c r="K168" s="104">
        <v>11</v>
      </c>
    </row>
    <row r="169" spans="1:16" x14ac:dyDescent="0.3">
      <c r="B169" s="330"/>
      <c r="C169" s="320"/>
      <c r="D169" s="117"/>
      <c r="E169" s="117"/>
      <c r="F169" s="117"/>
      <c r="G169" s="14"/>
      <c r="H169" s="332"/>
      <c r="I169" s="332"/>
      <c r="J169" s="332"/>
      <c r="K169" s="332"/>
      <c r="L169" s="320"/>
      <c r="M169" s="320"/>
      <c r="N169" s="320"/>
      <c r="O169" s="320"/>
      <c r="P169" s="320"/>
    </row>
    <row r="170" spans="1:16" x14ac:dyDescent="0.3">
      <c r="B170" s="329"/>
      <c r="C170" s="319"/>
      <c r="D170" s="120"/>
      <c r="E170" s="120"/>
      <c r="F170" s="120"/>
      <c r="G170" s="14"/>
      <c r="H170" s="333"/>
      <c r="I170" s="333"/>
      <c r="J170" s="333"/>
      <c r="K170" s="333"/>
      <c r="L170" s="334"/>
      <c r="M170" s="334"/>
      <c r="N170" s="334"/>
      <c r="O170" s="334"/>
      <c r="P170" s="334"/>
    </row>
    <row r="171" spans="1:16" x14ac:dyDescent="0.3">
      <c r="B171" s="87" t="s">
        <v>179</v>
      </c>
      <c r="C171" s="10" t="s">
        <v>350</v>
      </c>
      <c r="D171" s="117"/>
      <c r="E171" s="117"/>
      <c r="F171" s="117"/>
      <c r="G171" s="14"/>
      <c r="H171" s="276">
        <v>72</v>
      </c>
      <c r="I171" s="276">
        <v>5</v>
      </c>
      <c r="J171" s="276" t="s">
        <v>89</v>
      </c>
      <c r="K171" s="276">
        <v>11</v>
      </c>
      <c r="L171" s="10"/>
      <c r="M171" s="10"/>
      <c r="N171" s="10"/>
      <c r="O171" s="10"/>
      <c r="P171" s="10"/>
    </row>
    <row r="172" spans="1:16" ht="15.6" x14ac:dyDescent="0.3">
      <c r="A172" s="69" t="s">
        <v>181</v>
      </c>
      <c r="C172" s="103" t="s">
        <v>353</v>
      </c>
      <c r="D172" s="131"/>
      <c r="E172" s="131"/>
      <c r="F172" s="132"/>
      <c r="G172" s="28"/>
      <c r="H172" s="104">
        <v>73</v>
      </c>
      <c r="I172" s="104">
        <v>5</v>
      </c>
      <c r="J172" s="104" t="s">
        <v>89</v>
      </c>
      <c r="K172" s="104">
        <v>12</v>
      </c>
      <c r="M172" s="104">
        <v>78</v>
      </c>
      <c r="N172" s="104">
        <v>6</v>
      </c>
      <c r="O172" t="s">
        <v>446</v>
      </c>
      <c r="P172" s="104">
        <v>5</v>
      </c>
    </row>
    <row r="173" spans="1:16" x14ac:dyDescent="0.3">
      <c r="A173" s="44"/>
      <c r="B173" s="86" t="s">
        <v>354</v>
      </c>
      <c r="C173" t="s">
        <v>355</v>
      </c>
      <c r="D173" s="116"/>
      <c r="E173" s="116"/>
      <c r="F173" s="116"/>
      <c r="G173" s="14"/>
      <c r="H173" s="104">
        <v>73</v>
      </c>
      <c r="I173" s="104">
        <v>5</v>
      </c>
      <c r="J173" s="104" t="s">
        <v>89</v>
      </c>
      <c r="K173" s="104">
        <v>12</v>
      </c>
    </row>
    <row r="174" spans="1:16" x14ac:dyDescent="0.3">
      <c r="A174" s="44"/>
      <c r="B174" s="87" t="s">
        <v>357</v>
      </c>
      <c r="C174" s="10" t="s">
        <v>356</v>
      </c>
      <c r="D174" s="117"/>
      <c r="E174" s="117"/>
      <c r="F174" s="117"/>
      <c r="G174" s="14"/>
      <c r="H174" s="276">
        <v>73</v>
      </c>
      <c r="I174" s="276">
        <v>5</v>
      </c>
      <c r="J174" s="276" t="s">
        <v>89</v>
      </c>
      <c r="K174" s="276">
        <v>12</v>
      </c>
      <c r="L174" s="10"/>
      <c r="M174" s="10"/>
      <c r="N174" s="10"/>
      <c r="O174" s="10"/>
      <c r="P174" s="10"/>
    </row>
    <row r="175" spans="1:16" x14ac:dyDescent="0.3">
      <c r="A175" s="44"/>
      <c r="B175" s="86" t="s">
        <v>359</v>
      </c>
      <c r="C175" t="s">
        <v>358</v>
      </c>
      <c r="D175" s="116"/>
      <c r="E175" s="116"/>
      <c r="F175" s="116"/>
      <c r="G175" s="14"/>
      <c r="H175" s="104">
        <v>73</v>
      </c>
      <c r="I175" s="104">
        <v>5</v>
      </c>
      <c r="J175" s="104" t="s">
        <v>89</v>
      </c>
      <c r="K175" s="104">
        <v>12</v>
      </c>
    </row>
    <row r="176" spans="1:16" x14ac:dyDescent="0.3">
      <c r="A176" s="44"/>
      <c r="B176" s="86" t="s">
        <v>361</v>
      </c>
      <c r="C176" s="11" t="s">
        <v>360</v>
      </c>
      <c r="D176" s="116"/>
      <c r="E176" s="116"/>
      <c r="F176" s="116"/>
      <c r="G176" s="14"/>
      <c r="H176" s="104">
        <v>73</v>
      </c>
      <c r="I176" s="104">
        <v>5</v>
      </c>
      <c r="J176" s="104" t="s">
        <v>89</v>
      </c>
      <c r="K176" s="104">
        <v>12</v>
      </c>
    </row>
    <row r="177" spans="1:16" x14ac:dyDescent="0.3">
      <c r="A177" s="44"/>
      <c r="B177" s="87" t="s">
        <v>363</v>
      </c>
      <c r="C177" s="10" t="s">
        <v>362</v>
      </c>
      <c r="D177" s="117"/>
      <c r="E177" s="117"/>
      <c r="F177" s="117"/>
      <c r="G177" s="14"/>
      <c r="H177" s="276">
        <v>73</v>
      </c>
      <c r="I177" s="276">
        <v>5</v>
      </c>
      <c r="J177" s="276" t="s">
        <v>89</v>
      </c>
      <c r="K177" s="276">
        <v>12</v>
      </c>
      <c r="L177" s="10"/>
      <c r="M177" s="10"/>
      <c r="N177" s="10"/>
      <c r="O177" s="10"/>
      <c r="P177" s="10"/>
    </row>
    <row r="178" spans="1:16" x14ac:dyDescent="0.3">
      <c r="A178" s="44"/>
      <c r="B178" s="86" t="s">
        <v>365</v>
      </c>
      <c r="C178" s="11" t="s">
        <v>364</v>
      </c>
      <c r="D178" s="116"/>
      <c r="E178" s="116"/>
      <c r="F178" s="116"/>
      <c r="G178" s="14"/>
      <c r="H178" s="104">
        <v>73</v>
      </c>
      <c r="I178" s="104">
        <v>5</v>
      </c>
      <c r="J178" s="104" t="s">
        <v>89</v>
      </c>
      <c r="K178" s="104">
        <v>12</v>
      </c>
    </row>
    <row r="179" spans="1:16" x14ac:dyDescent="0.3">
      <c r="A179" s="44"/>
      <c r="B179" s="87" t="s">
        <v>367</v>
      </c>
      <c r="C179" s="10" t="s">
        <v>366</v>
      </c>
      <c r="D179" s="117"/>
      <c r="E179" s="117"/>
      <c r="F179" s="117"/>
      <c r="G179" s="14"/>
      <c r="H179" s="276">
        <v>73</v>
      </c>
      <c r="I179" s="276">
        <v>5</v>
      </c>
      <c r="J179" s="276" t="s">
        <v>89</v>
      </c>
      <c r="K179" s="276">
        <v>12</v>
      </c>
      <c r="L179" s="10"/>
      <c r="M179" s="10"/>
      <c r="N179" s="10"/>
      <c r="O179" s="10"/>
      <c r="P179" s="10"/>
    </row>
    <row r="180" spans="1:16" x14ac:dyDescent="0.3">
      <c r="A180" s="44"/>
      <c r="B180" s="108"/>
      <c r="C180" s="11" t="s">
        <v>377</v>
      </c>
      <c r="D180" s="116"/>
      <c r="E180" s="116"/>
      <c r="F180" s="116"/>
      <c r="G180" s="14"/>
      <c r="H180" s="331"/>
      <c r="I180" s="331"/>
      <c r="J180" s="331"/>
      <c r="K180" s="331"/>
      <c r="L180" s="334"/>
      <c r="M180" s="334"/>
      <c r="N180" s="334"/>
      <c r="O180" s="334"/>
      <c r="P180" s="334"/>
    </row>
    <row r="181" spans="1:16" x14ac:dyDescent="0.3">
      <c r="A181" s="44"/>
      <c r="B181" s="108"/>
      <c r="C181" s="10" t="s">
        <v>376</v>
      </c>
      <c r="D181" s="117"/>
      <c r="E181" s="117"/>
      <c r="F181" s="117"/>
      <c r="G181" s="14"/>
      <c r="H181" s="331"/>
      <c r="I181" s="331"/>
      <c r="J181" s="331"/>
      <c r="K181" s="331"/>
      <c r="L181" s="334"/>
      <c r="M181" s="334"/>
      <c r="N181" s="334"/>
      <c r="O181" s="334"/>
      <c r="P181" s="334"/>
    </row>
    <row r="182" spans="1:16" x14ac:dyDescent="0.3">
      <c r="A182" s="44"/>
      <c r="B182" s="108"/>
      <c r="C182" s="11" t="s">
        <v>378</v>
      </c>
      <c r="D182" s="116"/>
      <c r="E182" s="116"/>
      <c r="F182" s="116"/>
      <c r="G182" s="14"/>
      <c r="H182" s="331"/>
      <c r="I182" s="331"/>
      <c r="J182" s="331"/>
      <c r="K182" s="331"/>
      <c r="L182" s="334"/>
      <c r="M182" s="334"/>
      <c r="N182" s="334"/>
      <c r="O182" s="334"/>
      <c r="P182" s="334"/>
    </row>
    <row r="183" spans="1:16" x14ac:dyDescent="0.3">
      <c r="A183" s="44"/>
      <c r="B183" s="108"/>
      <c r="C183" s="10" t="s">
        <v>379</v>
      </c>
      <c r="D183" s="117"/>
      <c r="E183" s="117"/>
      <c r="F183" s="117"/>
      <c r="G183" s="14"/>
      <c r="H183" s="331"/>
      <c r="I183" s="331"/>
      <c r="J183" s="331"/>
      <c r="K183" s="331"/>
      <c r="L183" s="334"/>
      <c r="M183" s="334"/>
      <c r="N183" s="334"/>
      <c r="O183" s="334"/>
      <c r="P183" s="334"/>
    </row>
    <row r="184" spans="1:16" x14ac:dyDescent="0.3">
      <c r="A184" s="44"/>
      <c r="B184" s="108"/>
      <c r="C184" s="11" t="s">
        <v>380</v>
      </c>
      <c r="D184" s="116"/>
      <c r="E184" s="116"/>
      <c r="F184" s="116"/>
      <c r="G184" s="14"/>
      <c r="H184" s="331"/>
      <c r="I184" s="331"/>
      <c r="J184" s="331"/>
      <c r="K184" s="331"/>
      <c r="L184" s="334"/>
      <c r="M184" s="334"/>
      <c r="N184" s="334"/>
      <c r="O184" s="334"/>
      <c r="P184" s="334"/>
    </row>
    <row r="185" spans="1:16" x14ac:dyDescent="0.3">
      <c r="A185" s="44"/>
      <c r="B185" s="108"/>
      <c r="C185" s="10" t="s">
        <v>381</v>
      </c>
      <c r="D185" s="117"/>
      <c r="E185" s="117"/>
      <c r="F185" s="117"/>
      <c r="G185" s="14"/>
      <c r="H185" s="331"/>
      <c r="I185" s="331"/>
      <c r="J185" s="331"/>
      <c r="K185" s="331"/>
      <c r="L185" s="334"/>
      <c r="M185" s="334"/>
      <c r="N185" s="334"/>
      <c r="O185" s="334"/>
      <c r="P185" s="334"/>
    </row>
    <row r="186" spans="1:16" x14ac:dyDescent="0.3">
      <c r="A186" s="44"/>
      <c r="B186" s="86" t="s">
        <v>368</v>
      </c>
      <c r="C186" s="11" t="s">
        <v>369</v>
      </c>
      <c r="D186" s="116"/>
      <c r="E186" s="116"/>
      <c r="F186" s="116"/>
      <c r="G186" s="14"/>
      <c r="H186" s="104">
        <v>73</v>
      </c>
      <c r="I186" s="104">
        <v>5</v>
      </c>
      <c r="J186" s="104" t="s">
        <v>89</v>
      </c>
      <c r="K186" s="104">
        <v>12</v>
      </c>
    </row>
    <row r="187" spans="1:16" x14ac:dyDescent="0.3">
      <c r="A187" s="44"/>
      <c r="B187" s="330"/>
      <c r="C187" s="320"/>
      <c r="D187" s="117"/>
      <c r="E187" s="117"/>
      <c r="F187" s="117"/>
      <c r="G187" s="337"/>
      <c r="H187" s="332"/>
      <c r="I187" s="332"/>
      <c r="J187" s="332"/>
      <c r="K187" s="332"/>
      <c r="L187" s="320"/>
      <c r="M187" s="320"/>
      <c r="N187" s="320"/>
      <c r="O187" s="320"/>
      <c r="P187" s="320"/>
    </row>
    <row r="188" spans="1:16" x14ac:dyDescent="0.3">
      <c r="A188" s="44"/>
      <c r="B188" s="338"/>
      <c r="C188" s="319"/>
      <c r="D188" s="116"/>
      <c r="E188" s="116"/>
      <c r="F188" s="116"/>
      <c r="G188" s="337"/>
      <c r="H188" s="333"/>
      <c r="I188" s="333"/>
      <c r="J188" s="333"/>
      <c r="K188" s="333"/>
      <c r="L188" s="334"/>
      <c r="M188" s="334"/>
      <c r="N188" s="334"/>
      <c r="O188" s="334"/>
      <c r="P188" s="334"/>
    </row>
    <row r="189" spans="1:16" ht="15.6" x14ac:dyDescent="0.3">
      <c r="A189" s="69" t="s">
        <v>178</v>
      </c>
      <c r="C189" s="103" t="s">
        <v>370</v>
      </c>
      <c r="D189" s="131"/>
      <c r="E189" s="131"/>
      <c r="F189" s="132"/>
      <c r="G189" s="28"/>
      <c r="H189" s="104">
        <v>73</v>
      </c>
      <c r="I189" s="104">
        <v>5</v>
      </c>
      <c r="J189" s="104" t="s">
        <v>89</v>
      </c>
      <c r="K189" s="104">
        <v>12</v>
      </c>
      <c r="M189" s="104">
        <v>78</v>
      </c>
      <c r="N189" s="104">
        <v>6</v>
      </c>
      <c r="O189" t="s">
        <v>446</v>
      </c>
      <c r="P189" s="104">
        <v>5</v>
      </c>
    </row>
    <row r="190" spans="1:16" x14ac:dyDescent="0.3">
      <c r="A190" s="44"/>
      <c r="B190" s="86" t="s">
        <v>372</v>
      </c>
      <c r="C190" t="s">
        <v>59</v>
      </c>
      <c r="D190" s="116"/>
      <c r="E190" s="116"/>
      <c r="F190" s="116"/>
      <c r="G190" s="14"/>
      <c r="H190" s="104">
        <v>73</v>
      </c>
      <c r="I190" s="104">
        <v>5</v>
      </c>
      <c r="J190" s="104" t="s">
        <v>89</v>
      </c>
      <c r="K190" s="104">
        <v>12</v>
      </c>
    </row>
    <row r="191" spans="1:16" x14ac:dyDescent="0.3">
      <c r="A191" s="44"/>
      <c r="B191" s="87" t="s">
        <v>373</v>
      </c>
      <c r="C191" s="10" t="s">
        <v>6</v>
      </c>
      <c r="D191" s="117"/>
      <c r="E191" s="117"/>
      <c r="F191" s="117"/>
      <c r="G191" s="14"/>
      <c r="H191" s="276">
        <v>73</v>
      </c>
      <c r="I191" s="276">
        <v>5</v>
      </c>
      <c r="J191" s="276" t="s">
        <v>89</v>
      </c>
      <c r="K191" s="276">
        <v>12</v>
      </c>
      <c r="L191" s="10"/>
      <c r="M191" s="10"/>
      <c r="N191" s="10"/>
      <c r="O191" s="10"/>
      <c r="P191" s="10"/>
    </row>
    <row r="192" spans="1:16" x14ac:dyDescent="0.3">
      <c r="A192" s="44"/>
      <c r="B192" s="86" t="s">
        <v>374</v>
      </c>
      <c r="C192" t="s">
        <v>60</v>
      </c>
      <c r="D192" s="116"/>
      <c r="E192" s="116"/>
      <c r="F192" s="116"/>
      <c r="G192" s="14"/>
      <c r="H192" s="104">
        <v>73</v>
      </c>
      <c r="I192" s="104">
        <v>5</v>
      </c>
      <c r="J192" s="104" t="s">
        <v>89</v>
      </c>
      <c r="K192" s="104">
        <v>12</v>
      </c>
    </row>
    <row r="193" spans="1:16" x14ac:dyDescent="0.3">
      <c r="A193" s="44"/>
      <c r="B193" s="87" t="s">
        <v>375</v>
      </c>
      <c r="C193" s="10" t="s">
        <v>371</v>
      </c>
      <c r="D193" s="117"/>
      <c r="E193" s="117"/>
      <c r="F193" s="117"/>
      <c r="G193" s="14"/>
      <c r="H193" s="276">
        <v>73</v>
      </c>
      <c r="I193" s="276">
        <v>5</v>
      </c>
      <c r="J193" s="276" t="s">
        <v>89</v>
      </c>
      <c r="K193" s="276">
        <v>12</v>
      </c>
      <c r="L193" s="10"/>
      <c r="M193" s="10"/>
      <c r="N193" s="10"/>
      <c r="O193" s="10"/>
      <c r="P193" s="10"/>
    </row>
    <row r="194" spans="1:16" x14ac:dyDescent="0.3">
      <c r="A194" s="44"/>
      <c r="B194" s="44"/>
      <c r="C194" s="11" t="s">
        <v>61</v>
      </c>
      <c r="D194" s="120"/>
      <c r="E194" s="120"/>
      <c r="F194" s="120"/>
      <c r="G194" s="14"/>
      <c r="H194" s="331"/>
      <c r="I194" s="331"/>
      <c r="J194" s="331"/>
      <c r="K194" s="331"/>
      <c r="L194" s="334"/>
      <c r="M194" s="334"/>
      <c r="N194" s="334"/>
      <c r="O194" s="334"/>
      <c r="P194" s="334"/>
    </row>
    <row r="195" spans="1:16" x14ac:dyDescent="0.3">
      <c r="A195" s="44"/>
      <c r="B195" s="44"/>
      <c r="C195" s="10" t="s">
        <v>62</v>
      </c>
      <c r="D195" s="117"/>
      <c r="E195" s="117"/>
      <c r="F195" s="117"/>
      <c r="G195" s="14"/>
      <c r="H195" s="331"/>
      <c r="I195" s="331"/>
      <c r="J195" s="331"/>
      <c r="K195" s="331"/>
      <c r="L195" s="334"/>
      <c r="M195" s="334"/>
      <c r="N195" s="334"/>
      <c r="O195" s="334"/>
      <c r="P195" s="334"/>
    </row>
    <row r="196" spans="1:16" x14ac:dyDescent="0.3">
      <c r="A196" s="44"/>
      <c r="B196" s="44"/>
      <c r="C196" s="11" t="s">
        <v>63</v>
      </c>
      <c r="D196" s="120"/>
      <c r="E196" s="120"/>
      <c r="F196" s="120"/>
      <c r="G196" s="14"/>
      <c r="H196" s="331"/>
      <c r="I196" s="331"/>
      <c r="J196" s="331"/>
      <c r="K196" s="331"/>
      <c r="L196" s="334"/>
      <c r="M196" s="334"/>
      <c r="N196" s="334"/>
      <c r="O196" s="334"/>
      <c r="P196" s="334"/>
    </row>
    <row r="197" spans="1:16" x14ac:dyDescent="0.3">
      <c r="A197" s="44"/>
      <c r="B197" s="44"/>
      <c r="C197" s="10" t="s">
        <v>64</v>
      </c>
      <c r="D197" s="117"/>
      <c r="E197" s="117"/>
      <c r="F197" s="117"/>
      <c r="G197" s="14"/>
      <c r="H197" s="331"/>
      <c r="I197" s="331"/>
      <c r="J197" s="331"/>
      <c r="K197" s="331"/>
      <c r="L197" s="334"/>
      <c r="M197" s="334"/>
      <c r="N197" s="334"/>
      <c r="O197" s="334"/>
      <c r="P197" s="334"/>
    </row>
    <row r="198" spans="1:16" x14ac:dyDescent="0.3">
      <c r="A198" s="44"/>
      <c r="B198" s="44"/>
      <c r="C198" s="11" t="s">
        <v>65</v>
      </c>
      <c r="D198" s="120"/>
      <c r="E198" s="120"/>
      <c r="F198" s="120"/>
      <c r="G198" s="14"/>
      <c r="H198" s="331"/>
      <c r="I198" s="331"/>
      <c r="J198" s="331"/>
      <c r="K198" s="331"/>
      <c r="L198" s="334"/>
      <c r="M198" s="334"/>
      <c r="N198" s="334"/>
      <c r="O198" s="334"/>
      <c r="P198" s="334"/>
    </row>
    <row r="199" spans="1:16" x14ac:dyDescent="0.3">
      <c r="A199" s="44"/>
      <c r="B199" s="44"/>
      <c r="C199" s="10" t="s">
        <v>66</v>
      </c>
      <c r="D199" s="117"/>
      <c r="E199" s="117"/>
      <c r="F199" s="117"/>
      <c r="G199" s="14"/>
      <c r="H199" s="331"/>
      <c r="I199" s="331"/>
      <c r="J199" s="331"/>
      <c r="K199" s="331"/>
      <c r="L199" s="334"/>
      <c r="M199" s="334"/>
      <c r="N199" s="334"/>
      <c r="O199" s="334"/>
      <c r="P199" s="334"/>
    </row>
    <row r="200" spans="1:16" x14ac:dyDescent="0.3">
      <c r="A200" s="319"/>
      <c r="B200" s="319"/>
      <c r="C200" s="319"/>
      <c r="D200" s="120"/>
      <c r="E200" s="120"/>
      <c r="F200" s="120"/>
      <c r="G200" s="14"/>
      <c r="H200" s="331"/>
      <c r="I200" s="331"/>
      <c r="J200" s="331"/>
      <c r="K200" s="331"/>
      <c r="L200" s="334"/>
      <c r="M200" s="334"/>
      <c r="N200" s="334"/>
      <c r="O200" s="334"/>
      <c r="P200" s="334"/>
    </row>
    <row r="201" spans="1:16" x14ac:dyDescent="0.3">
      <c r="A201" s="320"/>
      <c r="B201" s="320"/>
      <c r="C201" s="320"/>
      <c r="D201" s="117"/>
      <c r="E201" s="117"/>
      <c r="F201" s="117"/>
      <c r="G201" s="14"/>
      <c r="H201" s="331"/>
      <c r="I201" s="331"/>
      <c r="J201" s="331"/>
      <c r="K201" s="331"/>
      <c r="L201" s="334"/>
      <c r="M201" s="334"/>
      <c r="N201" s="334"/>
      <c r="O201" s="334"/>
      <c r="P201" s="334"/>
    </row>
    <row r="202" spans="1:16" x14ac:dyDescent="0.3">
      <c r="A202" s="319"/>
      <c r="B202" s="319"/>
      <c r="C202" s="319"/>
      <c r="D202" s="120"/>
      <c r="E202" s="120"/>
      <c r="F202" s="120"/>
      <c r="G202" s="14"/>
      <c r="H202" s="331"/>
      <c r="I202" s="331"/>
      <c r="J202" s="331"/>
      <c r="K202" s="331"/>
      <c r="L202" s="334"/>
      <c r="M202" s="334"/>
      <c r="N202" s="334"/>
      <c r="O202" s="334"/>
      <c r="P202" s="334"/>
    </row>
    <row r="203" spans="1:16" x14ac:dyDescent="0.3">
      <c r="A203" s="320"/>
      <c r="B203" s="320"/>
      <c r="C203" s="320"/>
      <c r="D203" s="117"/>
      <c r="E203" s="117"/>
      <c r="F203" s="117"/>
      <c r="G203" s="14"/>
      <c r="H203" s="331"/>
      <c r="I203" s="331"/>
      <c r="J203" s="331"/>
      <c r="K203" s="331"/>
      <c r="L203" s="334"/>
      <c r="M203" s="334"/>
      <c r="N203" s="334"/>
      <c r="O203" s="334"/>
      <c r="P203" s="334"/>
    </row>
    <row r="204" spans="1:16" x14ac:dyDescent="0.3">
      <c r="A204" s="44"/>
      <c r="B204" s="109"/>
      <c r="C204" s="14" t="s">
        <v>382</v>
      </c>
      <c r="D204" s="116"/>
      <c r="E204" s="116"/>
      <c r="F204" s="116"/>
      <c r="G204" s="14"/>
      <c r="H204" s="331"/>
      <c r="I204" s="331"/>
      <c r="J204" s="331"/>
      <c r="K204" s="331"/>
      <c r="L204" s="334"/>
      <c r="M204" s="334"/>
      <c r="N204" s="334"/>
      <c r="O204" s="334"/>
      <c r="P204" s="334"/>
    </row>
    <row r="205" spans="1:16" ht="15.6" x14ac:dyDescent="0.3">
      <c r="A205" s="77" t="s">
        <v>234</v>
      </c>
      <c r="C205" s="54" t="s">
        <v>386</v>
      </c>
      <c r="D205" s="120"/>
      <c r="E205" s="120"/>
      <c r="F205" s="120"/>
      <c r="G205" s="28"/>
      <c r="H205" s="104">
        <v>73</v>
      </c>
      <c r="I205" s="104">
        <v>5</v>
      </c>
      <c r="J205" s="104" t="s">
        <v>89</v>
      </c>
      <c r="K205" s="104">
        <v>12</v>
      </c>
      <c r="M205" s="104">
        <v>78</v>
      </c>
      <c r="N205" s="104">
        <v>6</v>
      </c>
      <c r="O205" t="s">
        <v>446</v>
      </c>
      <c r="P205" s="104">
        <v>5</v>
      </c>
    </row>
    <row r="206" spans="1:16" ht="15.6" x14ac:dyDescent="0.3">
      <c r="A206" s="98"/>
      <c r="B206" s="97"/>
      <c r="C206" s="130" t="s">
        <v>397</v>
      </c>
      <c r="D206" s="146">
        <f>SUM(D147:D205)</f>
        <v>0</v>
      </c>
      <c r="E206" s="146">
        <f t="shared" ref="E206:F206" si="3">SUM(E147:E205)</f>
        <v>0</v>
      </c>
      <c r="F206" s="146">
        <f t="shared" si="3"/>
        <v>0</v>
      </c>
      <c r="G206" s="28"/>
      <c r="H206" s="104"/>
      <c r="I206" s="104"/>
      <c r="J206" s="104"/>
      <c r="K206" s="104"/>
    </row>
    <row r="207" spans="1:16" ht="18" x14ac:dyDescent="0.35">
      <c r="A207" s="405" t="s">
        <v>91</v>
      </c>
      <c r="B207" s="406"/>
      <c r="C207" s="406"/>
      <c r="D207" s="406"/>
      <c r="E207" s="406"/>
      <c r="F207" s="407"/>
      <c r="G207" s="32"/>
      <c r="H207" s="104">
        <v>73</v>
      </c>
      <c r="I207" s="104">
        <v>5</v>
      </c>
      <c r="J207" s="104" t="s">
        <v>89</v>
      </c>
      <c r="K207" s="104">
        <v>12</v>
      </c>
      <c r="M207" s="104">
        <v>78</v>
      </c>
      <c r="N207" s="104">
        <v>6</v>
      </c>
      <c r="O207" t="s">
        <v>446</v>
      </c>
      <c r="P207" s="104">
        <v>5</v>
      </c>
    </row>
    <row r="208" spans="1:16" ht="15.6" x14ac:dyDescent="0.3">
      <c r="A208" s="77" t="s">
        <v>188</v>
      </c>
      <c r="C208" s="54" t="s">
        <v>67</v>
      </c>
      <c r="D208" s="120"/>
      <c r="E208" s="120"/>
      <c r="F208" s="120"/>
      <c r="G208" s="28"/>
      <c r="H208" s="104">
        <v>73</v>
      </c>
      <c r="I208" s="104">
        <v>5</v>
      </c>
      <c r="J208" s="104" t="s">
        <v>89</v>
      </c>
      <c r="K208" s="104">
        <v>12</v>
      </c>
      <c r="M208" s="104">
        <v>78</v>
      </c>
      <c r="N208" s="104">
        <v>6</v>
      </c>
      <c r="O208" t="s">
        <v>446</v>
      </c>
      <c r="P208" s="104">
        <v>5</v>
      </c>
    </row>
    <row r="209" spans="1:16" ht="15.6" x14ac:dyDescent="0.3">
      <c r="A209" s="76" t="s">
        <v>189</v>
      </c>
      <c r="B209" s="10"/>
      <c r="C209" s="78" t="s">
        <v>68</v>
      </c>
      <c r="D209" s="117"/>
      <c r="E209" s="117"/>
      <c r="F209" s="117"/>
      <c r="G209" s="28"/>
      <c r="H209" s="276">
        <v>73</v>
      </c>
      <c r="I209" s="276">
        <v>5</v>
      </c>
      <c r="J209" s="276" t="s">
        <v>89</v>
      </c>
      <c r="K209" s="276">
        <v>12</v>
      </c>
      <c r="L209" s="10"/>
      <c r="M209" s="276">
        <v>78</v>
      </c>
      <c r="N209" s="276">
        <v>6</v>
      </c>
      <c r="O209" s="10" t="s">
        <v>446</v>
      </c>
      <c r="P209" s="276">
        <v>5</v>
      </c>
    </row>
    <row r="210" spans="1:16" ht="15.6" x14ac:dyDescent="0.3">
      <c r="A210" s="77" t="s">
        <v>200</v>
      </c>
      <c r="B210" s="229"/>
      <c r="C210" s="54" t="s">
        <v>92</v>
      </c>
      <c r="D210" s="120"/>
      <c r="E210" s="120"/>
      <c r="F210" s="120"/>
      <c r="G210" s="28"/>
      <c r="H210" s="104">
        <v>73</v>
      </c>
      <c r="I210" s="104">
        <v>5</v>
      </c>
      <c r="J210" s="104" t="s">
        <v>89</v>
      </c>
      <c r="K210" s="104">
        <v>12</v>
      </c>
      <c r="M210" s="104">
        <v>78</v>
      </c>
      <c r="N210" s="104">
        <v>6</v>
      </c>
      <c r="O210" t="s">
        <v>446</v>
      </c>
      <c r="P210" s="104">
        <v>5</v>
      </c>
    </row>
    <row r="211" spans="1:16" ht="15.6" x14ac:dyDescent="0.3">
      <c r="A211" s="76" t="s">
        <v>383</v>
      </c>
      <c r="B211" s="230"/>
      <c r="C211" s="78" t="s">
        <v>93</v>
      </c>
      <c r="D211" s="117"/>
      <c r="E211" s="117"/>
      <c r="F211" s="117"/>
      <c r="G211" s="28"/>
      <c r="H211" s="276">
        <v>73</v>
      </c>
      <c r="I211" s="276">
        <v>5</v>
      </c>
      <c r="J211" s="276" t="s">
        <v>89</v>
      </c>
      <c r="K211" s="276">
        <v>12</v>
      </c>
      <c r="L211" s="10"/>
      <c r="M211" s="10"/>
      <c r="N211" s="10"/>
      <c r="O211" s="10"/>
      <c r="P211" s="10"/>
    </row>
    <row r="212" spans="1:16" ht="15.6" x14ac:dyDescent="0.3">
      <c r="A212" s="77" t="s">
        <v>384</v>
      </c>
      <c r="B212" s="229"/>
      <c r="C212" s="54" t="s">
        <v>94</v>
      </c>
      <c r="D212" s="120"/>
      <c r="E212" s="120"/>
      <c r="F212" s="120"/>
      <c r="G212" s="28"/>
      <c r="H212" s="104">
        <v>73</v>
      </c>
      <c r="I212" s="104">
        <v>5</v>
      </c>
      <c r="J212" s="104" t="s">
        <v>89</v>
      </c>
      <c r="K212" s="104">
        <v>12</v>
      </c>
    </row>
    <row r="213" spans="1:16" ht="15.6" x14ac:dyDescent="0.3">
      <c r="A213" s="321"/>
      <c r="B213" s="322"/>
      <c r="C213" s="323"/>
      <c r="D213" s="117"/>
      <c r="E213" s="117"/>
      <c r="F213" s="117"/>
      <c r="G213" s="28"/>
      <c r="H213" s="333"/>
      <c r="I213" s="333"/>
      <c r="J213" s="333"/>
      <c r="K213" s="333"/>
      <c r="L213" s="334"/>
      <c r="M213" s="334"/>
      <c r="N213" s="334"/>
      <c r="O213" s="334"/>
      <c r="P213" s="334"/>
    </row>
    <row r="214" spans="1:16" ht="15.6" x14ac:dyDescent="0.3">
      <c r="A214" s="324"/>
      <c r="B214" s="325"/>
      <c r="C214" s="326"/>
      <c r="D214" s="120"/>
      <c r="E214" s="120"/>
      <c r="F214" s="120"/>
      <c r="G214" s="28"/>
      <c r="H214" s="333"/>
      <c r="I214" s="333"/>
      <c r="J214" s="333"/>
      <c r="K214" s="333"/>
      <c r="L214" s="334"/>
      <c r="M214" s="334"/>
      <c r="N214" s="334"/>
      <c r="O214" s="334"/>
      <c r="P214" s="334"/>
    </row>
    <row r="215" spans="1:16" ht="15.6" x14ac:dyDescent="0.3">
      <c r="A215" s="111"/>
      <c r="B215" s="112"/>
      <c r="C215" s="110" t="s">
        <v>385</v>
      </c>
      <c r="D215" s="122"/>
      <c r="E215" s="122"/>
      <c r="F215" s="122"/>
      <c r="G215" s="28"/>
      <c r="H215" s="332"/>
      <c r="I215" s="332"/>
      <c r="J215" s="332"/>
      <c r="K215" s="332"/>
      <c r="L215" s="320"/>
      <c r="M215" s="320"/>
      <c r="N215" s="320"/>
      <c r="O215" s="320"/>
      <c r="P215" s="320"/>
    </row>
    <row r="216" spans="1:16" ht="15.6" x14ac:dyDescent="0.3">
      <c r="A216" s="98"/>
      <c r="B216" s="97"/>
      <c r="C216" s="130" t="s">
        <v>398</v>
      </c>
      <c r="D216" s="146">
        <f>SUM(D208:D215)</f>
        <v>0</v>
      </c>
      <c r="E216" s="146">
        <f t="shared" ref="E216:F216" si="4">SUM(E208:E215)</f>
        <v>0</v>
      </c>
      <c r="F216" s="146">
        <f t="shared" si="4"/>
        <v>0</v>
      </c>
      <c r="G216" s="28"/>
      <c r="H216" s="333"/>
      <c r="I216" s="333"/>
      <c r="J216" s="333"/>
      <c r="K216" s="333"/>
      <c r="L216" s="334"/>
      <c r="M216" s="334"/>
      <c r="N216" s="334"/>
      <c r="O216" s="334"/>
      <c r="P216" s="334"/>
    </row>
    <row r="217" spans="1:16" ht="18" x14ac:dyDescent="0.35">
      <c r="A217" s="405" t="s">
        <v>90</v>
      </c>
      <c r="B217" s="406"/>
      <c r="C217" s="406"/>
      <c r="D217" s="406"/>
      <c r="E217" s="406"/>
      <c r="F217" s="407"/>
      <c r="G217" s="32"/>
      <c r="H217" s="104">
        <v>73</v>
      </c>
      <c r="I217" s="104">
        <v>5</v>
      </c>
      <c r="J217" s="104" t="s">
        <v>89</v>
      </c>
      <c r="K217" s="104">
        <v>12</v>
      </c>
      <c r="M217" s="104">
        <v>78</v>
      </c>
      <c r="N217" s="104">
        <v>6</v>
      </c>
      <c r="O217" t="s">
        <v>446</v>
      </c>
      <c r="P217" s="104">
        <v>5</v>
      </c>
    </row>
    <row r="218" spans="1:16" ht="15.6" x14ac:dyDescent="0.3">
      <c r="A218" s="77" t="s">
        <v>189</v>
      </c>
      <c r="B218" s="401" t="s">
        <v>83</v>
      </c>
      <c r="C218" s="401"/>
      <c r="D218" s="120"/>
      <c r="E218" s="120"/>
      <c r="F218" s="120"/>
      <c r="G218" s="28"/>
      <c r="H218" s="104">
        <v>73</v>
      </c>
      <c r="I218" s="104">
        <v>5</v>
      </c>
      <c r="J218" s="104" t="s">
        <v>89</v>
      </c>
      <c r="K218" s="104">
        <v>12</v>
      </c>
      <c r="M218" s="104">
        <v>78</v>
      </c>
      <c r="N218" s="104">
        <v>6</v>
      </c>
      <c r="O218" t="s">
        <v>446</v>
      </c>
      <c r="P218" s="104">
        <v>5</v>
      </c>
    </row>
    <row r="219" spans="1:16" ht="15.6" x14ac:dyDescent="0.3">
      <c r="A219" s="76" t="s">
        <v>309</v>
      </c>
      <c r="B219" s="402" t="s">
        <v>84</v>
      </c>
      <c r="C219" s="403"/>
      <c r="D219" s="117"/>
      <c r="E219" s="117"/>
      <c r="F219" s="117"/>
      <c r="G219" s="28"/>
      <c r="H219" s="276">
        <v>73</v>
      </c>
      <c r="I219" s="276">
        <v>5</v>
      </c>
      <c r="J219" s="276" t="s">
        <v>89</v>
      </c>
      <c r="K219" s="276">
        <v>12</v>
      </c>
      <c r="L219" s="10"/>
      <c r="M219" s="276">
        <v>78</v>
      </c>
      <c r="N219" s="276">
        <v>6</v>
      </c>
      <c r="O219" s="10" t="s">
        <v>446</v>
      </c>
      <c r="P219" s="276">
        <v>5</v>
      </c>
    </row>
    <row r="220" spans="1:16" ht="15.6" x14ac:dyDescent="0.3">
      <c r="A220" s="324"/>
      <c r="B220" s="325"/>
      <c r="C220" s="335"/>
      <c r="D220" s="120"/>
      <c r="E220" s="120"/>
      <c r="F220" s="120"/>
      <c r="G220" s="28"/>
      <c r="H220" s="331"/>
      <c r="I220" s="331"/>
      <c r="J220" s="331"/>
      <c r="K220" s="331"/>
      <c r="L220" s="319"/>
      <c r="M220" s="331"/>
      <c r="N220" s="331"/>
      <c r="O220" s="319"/>
      <c r="P220" s="331"/>
    </row>
    <row r="221" spans="1:16" ht="15.6" x14ac:dyDescent="0.3">
      <c r="A221" s="321"/>
      <c r="B221" s="322"/>
      <c r="C221" s="336"/>
      <c r="D221" s="117"/>
      <c r="E221" s="117"/>
      <c r="F221" s="117"/>
      <c r="G221" s="28"/>
      <c r="H221" s="332"/>
      <c r="I221" s="332"/>
      <c r="J221" s="332"/>
      <c r="K221" s="332"/>
      <c r="L221" s="320"/>
      <c r="M221" s="332"/>
      <c r="N221" s="332"/>
      <c r="O221" s="320"/>
      <c r="P221" s="332"/>
    </row>
    <row r="222" spans="1:16" ht="15.6" x14ac:dyDescent="0.3">
      <c r="A222" s="98"/>
      <c r="B222" s="97"/>
      <c r="C222" s="130" t="s">
        <v>399</v>
      </c>
      <c r="D222" s="146">
        <f>SUM(D218:D221)</f>
        <v>0</v>
      </c>
      <c r="E222" s="146">
        <f>SUM(E218:E221)</f>
        <v>0</v>
      </c>
      <c r="F222" s="146">
        <f>SUM(F218:F221)</f>
        <v>0</v>
      </c>
      <c r="G222" s="28"/>
    </row>
    <row r="223" spans="1:16" ht="6" customHeight="1" x14ac:dyDescent="0.3">
      <c r="A223" s="229"/>
      <c r="B223" s="229"/>
      <c r="C223" s="133"/>
      <c r="D223" s="134"/>
      <c r="E223" s="134"/>
      <c r="F223" s="134"/>
      <c r="G223" s="28"/>
    </row>
    <row r="224" spans="1:16" ht="15" customHeight="1" x14ac:dyDescent="0.3">
      <c r="A224" s="97"/>
      <c r="B224" s="97"/>
      <c r="C224" s="147" t="s">
        <v>414</v>
      </c>
      <c r="D224" s="125"/>
      <c r="E224" s="125"/>
      <c r="F224" s="125"/>
      <c r="G224" s="28"/>
    </row>
    <row r="225" spans="1:7" ht="6" customHeight="1" x14ac:dyDescent="0.3">
      <c r="A225" s="229"/>
      <c r="B225" s="229"/>
      <c r="C225" s="115"/>
      <c r="D225" s="145"/>
      <c r="E225" s="145"/>
      <c r="F225" s="145"/>
      <c r="G225" s="28"/>
    </row>
    <row r="226" spans="1:7" ht="18" x14ac:dyDescent="0.35">
      <c r="A226" s="404" t="s">
        <v>69</v>
      </c>
      <c r="B226" s="404"/>
      <c r="C226" s="404"/>
      <c r="D226" s="135">
        <f>+D28+D85+D133+D145+D206+D216+D222+D224</f>
        <v>0</v>
      </c>
      <c r="E226" s="135">
        <f>+E28+E85+E133+E145+E206+E216+E222+E224</f>
        <v>0</v>
      </c>
      <c r="F226" s="135">
        <f>+F28+F85+F133+F145+F206+F216+F222+F224</f>
        <v>0</v>
      </c>
      <c r="G226" s="31"/>
    </row>
    <row r="227" spans="1:7" s="334" customFormat="1" x14ac:dyDescent="0.3">
      <c r="G227" s="319"/>
    </row>
    <row r="228" spans="1:7" s="334" customFormat="1" x14ac:dyDescent="0.3">
      <c r="G228" s="319"/>
    </row>
    <row r="229" spans="1:7" s="334" customFormat="1" x14ac:dyDescent="0.3">
      <c r="G229" s="319"/>
    </row>
    <row r="230" spans="1:7" s="334" customFormat="1" x14ac:dyDescent="0.3">
      <c r="G230" s="319"/>
    </row>
    <row r="231" spans="1:7" s="334" customFormat="1" x14ac:dyDescent="0.3">
      <c r="G231" s="319"/>
    </row>
    <row r="232" spans="1:7" s="334" customFormat="1" x14ac:dyDescent="0.3">
      <c r="G232" s="319"/>
    </row>
    <row r="233" spans="1:7" s="334" customFormat="1" x14ac:dyDescent="0.3">
      <c r="G233" s="319"/>
    </row>
    <row r="234" spans="1:7" s="334" customFormat="1" x14ac:dyDescent="0.3">
      <c r="G234" s="319"/>
    </row>
    <row r="235" spans="1:7" s="334" customFormat="1" x14ac:dyDescent="0.3">
      <c r="G235" s="319"/>
    </row>
    <row r="236" spans="1:7" s="334" customFormat="1" x14ac:dyDescent="0.3">
      <c r="G236" s="319"/>
    </row>
    <row r="237" spans="1:7" s="334" customFormat="1" x14ac:dyDescent="0.3">
      <c r="G237" s="319"/>
    </row>
    <row r="238" spans="1:7" s="334" customFormat="1" x14ac:dyDescent="0.3">
      <c r="G238" s="319"/>
    </row>
    <row r="239" spans="1:7" s="334" customFormat="1" x14ac:dyDescent="0.3">
      <c r="G239" s="319"/>
    </row>
    <row r="240" spans="1:7" s="334" customFormat="1" x14ac:dyDescent="0.3">
      <c r="G240" s="319"/>
    </row>
    <row r="241" spans="7:7" s="334" customFormat="1" x14ac:dyDescent="0.3">
      <c r="G241" s="319"/>
    </row>
    <row r="242" spans="7:7" s="334" customFormat="1" x14ac:dyDescent="0.3">
      <c r="G242" s="319"/>
    </row>
    <row r="243" spans="7:7" s="334" customFormat="1" x14ac:dyDescent="0.3">
      <c r="G243" s="319"/>
    </row>
    <row r="244" spans="7:7" s="334" customFormat="1" x14ac:dyDescent="0.3">
      <c r="G244" s="319"/>
    </row>
    <row r="245" spans="7:7" s="334" customFormat="1" x14ac:dyDescent="0.3">
      <c r="G245" s="319"/>
    </row>
    <row r="246" spans="7:7" s="334" customFormat="1" x14ac:dyDescent="0.3">
      <c r="G246" s="319"/>
    </row>
    <row r="247" spans="7:7" s="334" customFormat="1" x14ac:dyDescent="0.3">
      <c r="G247" s="319"/>
    </row>
    <row r="248" spans="7:7" s="334" customFormat="1" x14ac:dyDescent="0.3">
      <c r="G248" s="319"/>
    </row>
    <row r="249" spans="7:7" s="334" customFormat="1" x14ac:dyDescent="0.3">
      <c r="G249" s="319"/>
    </row>
    <row r="250" spans="7:7" s="334" customFormat="1" x14ac:dyDescent="0.3">
      <c r="G250" s="319"/>
    </row>
  </sheetData>
  <sheetProtection algorithmName="SHA-512" hashValue="EpuodrYwzJ8OXJvv1aQI6BYkiEB3dl4troIEngOJ32sI65vc1mIBR9VmQyNXctGkOt6hAe0fOJPBx2JWncDwsg==" saltValue="vxsh086HU/ERXwciOz1OTg==" spinCount="100000" sheet="1" objects="1" scenarios="1"/>
  <mergeCells count="15">
    <mergeCell ref="M1:P1"/>
    <mergeCell ref="C5:F5"/>
    <mergeCell ref="B1:C1"/>
    <mergeCell ref="H1:K1"/>
    <mergeCell ref="B2:C2"/>
    <mergeCell ref="A3:F3"/>
    <mergeCell ref="B218:C218"/>
    <mergeCell ref="B219:C219"/>
    <mergeCell ref="A226:C226"/>
    <mergeCell ref="A29:F29"/>
    <mergeCell ref="A86:F86"/>
    <mergeCell ref="A134:F134"/>
    <mergeCell ref="A146:F146"/>
    <mergeCell ref="A207:F207"/>
    <mergeCell ref="A217:F217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NBCS Financial Report</vt:lpstr>
      <vt:lpstr>Revenu Data</vt:lpstr>
      <vt:lpstr>Expend Data</vt:lpstr>
      <vt:lpstr>'NBCS Financial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jwilk8284</dc:creator>
  <cp:lastModifiedBy>Phyllis Schwab</cp:lastModifiedBy>
  <cp:lastPrinted>2017-07-22T19:24:44Z</cp:lastPrinted>
  <dcterms:created xsi:type="dcterms:W3CDTF">2016-04-10T21:47:25Z</dcterms:created>
  <dcterms:modified xsi:type="dcterms:W3CDTF">2017-07-26T21:27:09Z</dcterms:modified>
</cp:coreProperties>
</file>